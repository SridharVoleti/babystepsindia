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280" yWindow="3096" windowWidth="15840" windowHeight="8064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Gap Tracker" sheetId="2" state="visible" r:id="rId2"/>
    <sheet xmlns:r="http://schemas.openxmlformats.org/officeDocument/2006/relationships" name="List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rlito"/>
      <b val="1"/>
      <color rgb="FFFFFFFF"/>
      <sz val="11"/>
    </font>
    <font>
      <name val="Carlito"/>
      <b val="1"/>
      <color rgb="FFFFFFFF"/>
      <sz val="16"/>
    </font>
    <font>
      <name val="Carlito"/>
      <b val="1"/>
      <sz val="11"/>
    </font>
    <font>
      <name val="Carlito"/>
      <i val="1"/>
      <color rgb="FF666666"/>
      <sz val="11"/>
    </font>
  </fonts>
  <fills count="7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2F3"/>
      </patternFill>
    </fill>
    <fill>
      <patternFill patternType="solid">
        <fgColor rgb="FFE2F0D9"/>
      </patternFill>
    </fill>
    <fill>
      <patternFill patternType="solid">
        <fgColor rgb="FF5B9BD5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3" fillId="3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pivotButton="0" quotePrefix="0" xfId="0"/>
    <xf numFmtId="0" fontId="3" fillId="3" borderId="0" applyAlignment="1" pivotButton="0" quotePrefix="0" xfId="0">
      <alignment horizontal="center" wrapText="1"/>
    </xf>
    <xf numFmtId="0" fontId="2" fillId="2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/>
    </xf>
    <xf numFmtId="0" fontId="4" fillId="6" borderId="0" applyAlignment="1" pivotButton="0" quotePrefix="0" xfId="0">
      <alignment wrapText="1"/>
    </xf>
  </cellXfs>
  <cellStyles count="1">
    <cellStyle name="Normal" xfId="0" builtinId="0"/>
  </cellStyles>
  <dxfs count="8">
    <dxf>
      <font>
        <color rgb="FF351C75"/>
      </font>
      <fill>
        <patternFill patternType="solid">
          <bgColor rgb="FFD9D2E9"/>
        </patternFill>
      </fill>
    </dxf>
    <dxf>
      <font>
        <color rgb="FF990000"/>
      </font>
      <fill>
        <patternFill patternType="solid">
          <bgColor rgb="FFF4CCCC"/>
        </patternFill>
      </fill>
    </dxf>
    <dxf>
      <font>
        <color rgb="FF073763"/>
      </font>
      <fill>
        <patternFill patternType="solid">
          <bgColor rgb="FFCFE2F3"/>
        </patternFill>
      </fill>
    </dxf>
    <dxf>
      <font>
        <b val="1"/>
        <color rgb="FF274E13"/>
      </font>
      <fill>
        <patternFill patternType="solid">
          <bgColor rgb="FFD9EAD3"/>
        </patternFill>
      </fill>
    </dxf>
    <dxf>
      <font>
        <color rgb="FF274E13"/>
      </font>
      <fill>
        <patternFill patternType="solid">
          <bgColor rgb="FFD9EAD3"/>
        </patternFill>
      </fill>
    </dxf>
    <dxf>
      <font>
        <color rgb="FF7F6000"/>
      </font>
      <fill>
        <patternFill patternType="solid">
          <bgColor rgb="FFFFF2CC"/>
        </patternFill>
      </fill>
    </dxf>
    <dxf>
      <font>
        <b val="1"/>
        <color rgb="FFB45F06"/>
      </font>
      <fill>
        <patternFill patternType="solid">
          <bgColor rgb="FFFCE5CD"/>
        </patternFill>
      </fill>
    </dxf>
    <dxf>
      <font>
        <b val="1"/>
        <color rgb="FF990000"/>
      </font>
      <fill>
        <patternFill patternType="solid">
          <bgColor rgb="FFF4CCC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Gaps by Requirement</a:t>
            </a:r>
          </a:p>
        </rich>
      </tx>
      <overlay val="1"/>
    </title>
    <plotArea>
      <layout/>
      <barChart>
        <barDir val="col"/>
        <grouping val="clustered"/>
        <varyColors val="0"/>
        <ser>
          <idx val="0"/>
          <order val="0"/>
          <tx>
            <v>Total</v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Summary!$D$4:$D$6</f>
              <strCache>
                <ptCount val="3"/>
                <pt idx="0">
                  <v>PD-002</v>
                </pt>
                <pt idx="1">
                  <v>PD-003</v>
                </pt>
                <pt idx="2">
                  <v>PD-004</v>
                </pt>
              </strCache>
            </strRef>
          </cat>
          <val>
            <numRef>
              <f>Summary!$E$4:$E$6</f>
              <numCache>
                <formatCode>General</formatCode>
                <ptCount val="3"/>
                <pt idx="0">
                  <v>8</v>
                </pt>
                <pt idx="1">
                  <v>10</v>
                </pt>
                <pt idx="2">
                  <v>10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crossAx val="48672768"/>
        <crosses val="autoZero"/>
        <auto val="1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crossAx val="48650112"/>
        <crosses val="autoZero"/>
        <crossBetween val="between"/>
      </valAx>
    </plotArea>
    <plotVisOnly val="1"/>
    <dispBlanksAs val="zero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9</col>
      <colOff>0</colOff>
      <row>2</row>
      <rowOff>0</rowOff>
    </from>
    <to>
      <col>16</col>
      <colOff>0</colOff>
      <row>16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PDGapTracker" displayName="PDGapTracker" ref="A1:N29" headerRowCount="1" totalsRowShown="0">
  <tableColumns count="14">
    <tableColumn id="1" name="Requirement"/>
    <tableColumn id="2" name="Gap ID"/>
    <tableColumn id="3" name="Area"/>
    <tableColumn id="4" name="Severity"/>
    <tableColumn id="5" name="Priority"/>
    <tableColumn id="6" name="Frozen Expectation"/>
    <tableColumn id="7" name="Current Implementation"/>
    <tableColumn id="8" name="Gap / Risk"/>
    <tableColumn id="9" name="Required Remediation"/>
    <tableColumn id="10" name="Completion Criteria"/>
    <tableColumn id="11" name="Status"/>
    <tableColumn id="12" name="Owner"/>
    <tableColumn id="13" name="Evidence / Code Path"/>
    <tableColumn id="14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tabSelected="1" workbookViewId="0">
      <selection activeCell="A1" sqref="A1:H1"/>
    </sheetView>
  </sheetViews>
  <sheetFormatPr baseColWidth="8" defaultRowHeight="13.8"/>
  <cols>
    <col width="12" customWidth="1" min="1" max="1"/>
    <col width="14" customWidth="1" min="2" max="2"/>
    <col width="19" customWidth="1" min="3" max="3"/>
    <col width="34" customWidth="1" min="4" max="4"/>
    <col width="42" customWidth="1" min="5" max="6"/>
    <col width="12" customWidth="1" min="7" max="8"/>
  </cols>
  <sheetData>
    <row r="1" ht="22.35" customHeight="1">
      <c r="A1" s="7" t="inlineStr">
        <is>
          <t>Parent Dashboard Gap Analysis — PD-002 to PD-004</t>
        </is>
      </c>
    </row>
    <row r="3">
      <c r="A3" s="4" t="inlineStr">
        <is>
          <t>Metric</t>
        </is>
      </c>
      <c r="B3" s="4" t="inlineStr">
        <is>
          <t>Value</t>
        </is>
      </c>
      <c r="D3" s="4" t="inlineStr">
        <is>
          <t>Requirement</t>
        </is>
      </c>
      <c r="E3" s="4" t="inlineStr">
        <is>
          <t>Total</t>
        </is>
      </c>
      <c r="F3" s="4" t="inlineStr">
        <is>
          <t>Critical</t>
        </is>
      </c>
      <c r="G3" s="4" t="inlineStr">
        <is>
          <t>High</t>
        </is>
      </c>
      <c r="H3" s="4" t="inlineStr">
        <is>
          <t>Open / Not Closed</t>
        </is>
      </c>
    </row>
    <row r="4">
      <c r="A4" t="inlineStr">
        <is>
          <t>Total gaps</t>
        </is>
      </c>
      <c r="B4">
        <f>COUNTA('Gap Tracker'!B2:B29)</f>
        <v/>
      </c>
      <c r="D4" t="inlineStr">
        <is>
          <t>PD-002</t>
        </is>
      </c>
      <c r="E4">
        <f>COUNTIF('Gap Tracker'!$A$2:$A$29,D4)</f>
        <v/>
      </c>
      <c r="F4">
        <f>COUNTIFS('Gap Tracker'!$A$2:$A$29,D4,'Gap Tracker'!$D$2:$D$29,"Critical")</f>
        <v/>
      </c>
      <c r="G4">
        <f>COUNTIFS('Gap Tracker'!$A$2:$A$29,D4,'Gap Tracker'!$D$2:$D$29,"High")</f>
        <v/>
      </c>
      <c r="H4">
        <f>COUNTIFS('Gap Tracker'!$A$2:$A$29,D4,'Gap Tracker'!$K$2:$K$29,"&lt;&gt;Closed")</f>
        <v/>
      </c>
    </row>
    <row r="5">
      <c r="A5" t="inlineStr">
        <is>
          <t>Critical</t>
        </is>
      </c>
      <c r="B5">
        <f>COUNTIF('Gap Tracker'!D2:D29,"Critical")</f>
        <v/>
      </c>
      <c r="D5" t="inlineStr">
        <is>
          <t>PD-003</t>
        </is>
      </c>
      <c r="E5">
        <f>COUNTIF('Gap Tracker'!$A$2:$A$29,D5)</f>
        <v/>
      </c>
      <c r="F5">
        <f>COUNTIFS('Gap Tracker'!$A$2:$A$29,D5,'Gap Tracker'!$D$2:$D$29,"Critical")</f>
        <v/>
      </c>
      <c r="G5">
        <f>COUNTIFS('Gap Tracker'!$A$2:$A$29,D5,'Gap Tracker'!$D$2:$D$29,"High")</f>
        <v/>
      </c>
      <c r="H5">
        <f>COUNTIFS('Gap Tracker'!$A$2:$A$29,D5,'Gap Tracker'!$K$2:$K$29,"&lt;&gt;Closed")</f>
        <v/>
      </c>
    </row>
    <row r="6">
      <c r="A6" t="inlineStr">
        <is>
          <t>High</t>
        </is>
      </c>
      <c r="B6" t="n">
        <v>0</v>
      </c>
      <c r="D6" t="inlineStr">
        <is>
          <t>PD-004</t>
        </is>
      </c>
      <c r="E6">
        <f>COUNTIF('Gap Tracker'!$A$2:$A$29,D6)</f>
        <v/>
      </c>
      <c r="F6">
        <f>COUNTIFS('Gap Tracker'!$A$2:$A$29,D6,'Gap Tracker'!$D$2:$D$29,"Critical")</f>
        <v/>
      </c>
      <c r="G6">
        <f>COUNTIFS('Gap Tracker'!$A$2:$A$29,D6,'Gap Tracker'!$D$2:$D$29,"High")</f>
        <v/>
      </c>
      <c r="H6">
        <f>COUNTIFS('Gap Tracker'!$A$2:$A$29,D6,'Gap Tracker'!$K$2:$K$29,"&lt;&gt;Closed")</f>
        <v/>
      </c>
    </row>
    <row r="7">
      <c r="A7" t="inlineStr">
        <is>
          <t>Closed</t>
        </is>
      </c>
      <c r="B7">
        <f>COUNTIF('Gap Tracker'!K2:K29,"Closed")</f>
        <v/>
      </c>
      <c r="D7" s="5" t="inlineStr">
        <is>
          <t>TOTAL</t>
        </is>
      </c>
      <c r="E7" s="5">
        <f>SUM(E4:E6)</f>
        <v/>
      </c>
      <c r="F7" s="5">
        <f>SUM(F4:F6)</f>
        <v/>
      </c>
      <c r="G7" s="5">
        <f>SUM(G4:G6)</f>
        <v/>
      </c>
      <c r="H7" s="5">
        <f>SUM(H4:H6)</f>
        <v/>
      </c>
    </row>
    <row r="10">
      <c r="A10" s="8" t="inlineStr">
        <is>
          <t>Recommended Closure Sequence</t>
        </is>
      </c>
    </row>
    <row r="11">
      <c r="A11" s="6" t="inlineStr">
        <is>
          <t>Order</t>
        </is>
      </c>
      <c r="B11" s="6" t="inlineStr">
        <is>
          <t>Requirement</t>
        </is>
      </c>
      <c r="C11" s="6" t="inlineStr">
        <is>
          <t>Gap(s)</t>
        </is>
      </c>
      <c r="D11" s="6" t="inlineStr">
        <is>
          <t>Work Package</t>
        </is>
      </c>
      <c r="E11" s="6" t="inlineStr">
        <is>
          <t>Reason</t>
        </is>
      </c>
      <c r="F11" s="6" t="inlineStr">
        <is>
          <t>Exit Gate</t>
        </is>
      </c>
      <c r="G11" s="6" t="n"/>
      <c r="H11" s="6" t="n"/>
    </row>
    <row r="12" ht="27.6" customHeight="1">
      <c r="A12" s="2" t="n">
        <v>1</v>
      </c>
      <c r="B12" s="2" t="inlineStr">
        <is>
          <t>PD-004</t>
        </is>
      </c>
      <c r="C12" s="2" t="inlineStr">
        <is>
          <t>PD4-G01</t>
        </is>
      </c>
      <c r="D12" s="2" t="inlineStr">
        <is>
          <t>Implement authoritative modeGeneration</t>
        </is>
      </c>
      <c r="E12" s="2" t="inlineStr">
        <is>
          <t>Security-critical foundation.</t>
        </is>
      </c>
      <c r="F12" s="2" t="inlineStr">
        <is>
          <t>Generation changes on mode transition and stale values fail closed.</t>
        </is>
      </c>
      <c r="G12" s="2" t="n"/>
      <c r="H12" s="2" t="n"/>
    </row>
    <row r="13" ht="27.6" customHeight="1">
      <c r="A13" s="2" t="n">
        <v>2</v>
      </c>
      <c r="B13" s="2" t="inlineStr">
        <is>
          <t>PD-004</t>
        </is>
      </c>
      <c r="C13" s="2" t="inlineStr">
        <is>
          <t>PD4-G04/G05/G07</t>
        </is>
      </c>
      <c r="D13" s="2" t="inlineStr">
        <is>
          <t>Back/Forward, bfcache and multi-tab protection</t>
        </is>
      </c>
      <c r="E13" s="2" t="inlineStr">
        <is>
          <t>Completes browser security boundary.</t>
        </is>
      </c>
      <c r="F13" s="2" t="inlineStr">
        <is>
          <t>Browser regression suite passes.</t>
        </is>
      </c>
      <c r="G13" s="2" t="n"/>
      <c r="H13" s="2" t="n"/>
    </row>
    <row r="14">
      <c r="A14" s="2" t="n">
        <v>3</v>
      </c>
      <c r="B14" s="2" t="inlineStr">
        <is>
          <t>PD-004</t>
        </is>
      </c>
      <c r="C14" s="2" t="inlineStr">
        <is>
          <t>PD4-G02/G03/G08</t>
        </is>
      </c>
      <c r="D14" s="2" t="inlineStr">
        <is>
          <t>Complete API-PD-006 shell contract</t>
        </is>
      </c>
      <c r="E14" s="2" t="inlineStr">
        <is>
          <t>Makes shell externally compliant.</t>
        </is>
      </c>
      <c r="F14" s="2" t="inlineStr">
        <is>
          <t>Exact shell response + graceful degradation.</t>
        </is>
      </c>
      <c r="G14" s="2" t="n"/>
      <c r="H14" s="2" t="n"/>
    </row>
    <row r="15" ht="27.6" customHeight="1">
      <c r="A15" s="2" t="n">
        <v>4</v>
      </c>
      <c r="B15" s="2" t="inlineStr">
        <is>
          <t>PD-002</t>
        </is>
      </c>
      <c r="C15" s="2" t="inlineStr">
        <is>
          <t>PD2-G01/G02/G03/G05</t>
        </is>
      </c>
      <c r="D15" s="2" t="inlineStr">
        <is>
          <t>Implement API-PD-002 and API-PD-003 exactly</t>
        </is>
      </c>
      <c r="E15" s="2" t="inlineStr">
        <is>
          <t>Mostly contract packaging over existing logic.</t>
        </is>
      </c>
      <c r="F15" s="2" t="inlineStr">
        <is>
          <t>Exact endpoints/schemas pass.</t>
        </is>
      </c>
      <c r="G15" s="2" t="n"/>
      <c r="H15" s="2" t="n"/>
    </row>
    <row r="16" ht="27.6" customHeight="1">
      <c r="A16" s="2" t="n">
        <v>5</v>
      </c>
      <c r="B16" s="2" t="inlineStr">
        <is>
          <t>PD-002</t>
        </is>
      </c>
      <c r="C16" s="2" t="inlineStr">
        <is>
          <t>PD2-G04/G06/G07</t>
        </is>
      </c>
      <c r="D16" s="2" t="inlineStr">
        <is>
          <t>Reliability and remaining learner-detail behavior</t>
        </is>
      </c>
      <c r="E16" s="2" t="inlineStr">
        <is>
          <t>Closes stale selection and partial failure gaps.</t>
        </is>
      </c>
      <c r="F16" s="2" t="inlineStr">
        <is>
          <t>409, isolation and milestone cases pass.</t>
        </is>
      </c>
      <c r="G16" s="2" t="n"/>
      <c r="H16" s="2" t="n"/>
    </row>
    <row r="17" ht="27.6" customHeight="1">
      <c r="A17" s="2" t="n">
        <v>6</v>
      </c>
      <c r="B17" s="2" t="inlineStr">
        <is>
          <t>PD-003</t>
        </is>
      </c>
      <c r="C17" s="2" t="inlineStr">
        <is>
          <t>PD3-G01/G02/G05/G06</t>
        </is>
      </c>
      <c r="D17" s="2" t="inlineStr">
        <is>
          <t>Implement exact Attention API paths/schemas</t>
        </is>
      </c>
      <c r="E17" s="2" t="inlineStr">
        <is>
          <t>Canonical algorithm already exists.</t>
        </is>
      </c>
      <c r="F17" s="2" t="inlineStr">
        <is>
          <t>API-PD-004/005 contract tests pass.</t>
        </is>
      </c>
      <c r="G17" s="2" t="n"/>
      <c r="H17" s="2" t="n"/>
    </row>
    <row r="18" ht="27.6" customHeight="1">
      <c r="A18" s="2" t="n">
        <v>7</v>
      </c>
      <c r="B18" s="2" t="inlineStr">
        <is>
          <t>PD-003</t>
        </is>
      </c>
      <c r="C18" s="2" t="inlineStr">
        <is>
          <t>PD3-G03/G04/G07/G09</t>
        </is>
      </c>
      <c r="D18" s="2" t="inlineStr">
        <is>
          <t>Filtering, pagination and validation</t>
        </is>
      </c>
      <c r="E18" s="2" t="inlineStr">
        <is>
          <t>Completes frozen query surface.</t>
        </is>
      </c>
      <c r="F18" s="2" t="inlineStr">
        <is>
          <t>Stable paging/filter validation passes.</t>
        </is>
      </c>
      <c r="G18" s="2" t="n"/>
      <c r="H18" s="2" t="n"/>
    </row>
    <row r="19">
      <c r="A19" s="2" t="n">
        <v>8</v>
      </c>
      <c r="B19" s="2" t="inlineStr">
        <is>
          <t>PD-003</t>
        </is>
      </c>
      <c r="C19" s="2" t="inlineStr">
        <is>
          <t>PD3-G08</t>
        </is>
      </c>
      <c r="D19" s="2" t="inlineStr">
        <is>
          <t>Attention Center UI filters</t>
        </is>
      </c>
      <c r="E19" s="2" t="inlineStr">
        <is>
          <t>Completes approved parent UX.</t>
        </is>
      </c>
      <c r="F19" s="2" t="inlineStr">
        <is>
          <t>Desktop/mobile filtering works.</t>
        </is>
      </c>
      <c r="G19" s="2" t="n"/>
      <c r="H19" s="2" t="n"/>
    </row>
    <row r="20" ht="27.6" customHeight="1">
      <c r="A20" s="2" t="n">
        <v>9</v>
      </c>
      <c r="B20" s="2" t="inlineStr">
        <is>
          <t>ALL</t>
        </is>
      </c>
      <c r="C20" s="2" t="inlineStr">
        <is>
          <t>PD2-G08/PD3-G10/PD4-G10</t>
        </is>
      </c>
      <c r="D20" s="2" t="inlineStr">
        <is>
          <t>Frozen acceptance traceability</t>
        </is>
      </c>
      <c r="E20" s="2" t="inlineStr">
        <is>
          <t>Required before strict closure.</t>
        </is>
      </c>
      <c r="F20" s="2" t="inlineStr">
        <is>
          <t>All frozen AT IDs mapped and passing.</t>
        </is>
      </c>
      <c r="G20" s="2" t="n"/>
      <c r="H20" s="2" t="n"/>
    </row>
    <row r="23" ht="33.6" customHeight="1">
      <c r="A23" s="9" t="inlineStr">
        <is>
          <t>Baseline: strict audit of Git commit 9f1f831f432a1efa041a53228924a7b866fa6038 against frozen PD-002, PD-003 and PD-004 contracts. Mark a gap Closed only after exact frozen-contract validation.</t>
        </is>
      </c>
    </row>
  </sheetData>
  <mergeCells count="3">
    <mergeCell ref="A23:H23"/>
    <mergeCell ref="A1:H1"/>
    <mergeCell ref="A10:H1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3.8"/>
  <cols>
    <col width="12" customWidth="1" min="1" max="2"/>
    <col width="19" customWidth="1" min="3" max="3"/>
    <col width="11" customWidth="1" min="4" max="4"/>
    <col width="9" customWidth="1" min="5" max="5"/>
    <col width="38" customWidth="1" min="6" max="7"/>
    <col width="34" customWidth="1" min="8" max="8"/>
    <col width="40" customWidth="1" min="9" max="9"/>
    <col width="38" customWidth="1" min="10" max="10"/>
    <col width="20" customWidth="1" min="11" max="11"/>
    <col width="16" customWidth="1" min="12" max="12"/>
    <col width="38" customWidth="1" min="13" max="13"/>
    <col width="30" customWidth="1" min="14" max="14"/>
  </cols>
  <sheetData>
    <row r="1" ht="27.6" customHeight="1">
      <c r="A1" s="1" t="inlineStr">
        <is>
          <t>Requirement</t>
        </is>
      </c>
      <c r="B1" s="1" t="inlineStr">
        <is>
          <t>Gap ID</t>
        </is>
      </c>
      <c r="C1" s="1" t="inlineStr">
        <is>
          <t>Area</t>
        </is>
      </c>
      <c r="D1" s="1" t="inlineStr">
        <is>
          <t>Severity</t>
        </is>
      </c>
      <c r="E1" s="1" t="inlineStr">
        <is>
          <t>Priority</t>
        </is>
      </c>
      <c r="F1" s="1" t="inlineStr">
        <is>
          <t>Frozen Expectation</t>
        </is>
      </c>
      <c r="G1" s="1" t="inlineStr">
        <is>
          <t>Current Implementation</t>
        </is>
      </c>
      <c r="H1" s="1" t="inlineStr">
        <is>
          <t>Gap / Risk</t>
        </is>
      </c>
      <c r="I1" s="1" t="inlineStr">
        <is>
          <t>Required Remediation</t>
        </is>
      </c>
      <c r="J1" s="1" t="inlineStr">
        <is>
          <t>Completion Criteria</t>
        </is>
      </c>
      <c r="K1" s="1" t="inlineStr">
        <is>
          <t>Status</t>
        </is>
      </c>
      <c r="L1" s="1" t="inlineStr">
        <is>
          <t>Owner</t>
        </is>
      </c>
      <c r="M1" s="1" t="inlineStr">
        <is>
          <t>Evidence / Code Path</t>
        </is>
      </c>
      <c r="N1" s="1" t="inlineStr">
        <is>
          <t>Notes</t>
        </is>
      </c>
    </row>
    <row r="2" ht="96.59999999999999" customHeight="1">
      <c r="A2" s="2" t="inlineStr">
        <is>
          <t>PD-002</t>
        </is>
      </c>
      <c r="B2" s="2" t="inlineStr">
        <is>
          <t>PD2-G01</t>
        </is>
      </c>
      <c r="C2" s="2" t="inlineStr">
        <is>
          <t>API Contract</t>
        </is>
      </c>
      <c r="D2" s="2" t="inlineStr">
        <is>
          <t>High</t>
        </is>
      </c>
      <c r="E2" s="2" t="inlineStr">
        <is>
          <t>P1</t>
        </is>
      </c>
      <c r="F2" s="2" t="inlineStr">
        <is>
          <t>API-PD-002 must be GET /v1/parent/learners/{learnerId}/detail.</t>
        </is>
      </c>
      <c r="G2" s="2" t="inlineStr">
        <is>
          <t>Current implementation exposes GET /v1/parent/learners/{learnerId}.</t>
        </is>
      </c>
      <c r="H2" s="2" t="inlineStr">
        <is>
          <t>Frozen API route does not match implemented route.</t>
        </is>
      </c>
      <c r="I2" s="2" t="inlineStr">
        <is>
          <t>Add the exact API-PD-002 route. Existing route may remain only as a compatibility/internal endpoint.</t>
        </is>
      </c>
      <c r="J2" s="2" t="inlineStr">
        <is>
          <t>Frozen route exists, authorizes parent-management access, returns the approved response contract, and tests pass.</t>
        </is>
      </c>
      <c r="K2" s="2" t="inlineStr">
        <is>
          <t>Closed</t>
        </is>
      </c>
      <c r="L2" s="2" t="n"/>
      <c r="M2" s="2" t="inlineStr">
        <is>
          <t>src/app/v1/parent/learners/[learnerId]/route.ts</t>
        </is>
      </c>
      <c r="N2" s="2" t="inlineStr">
        <is>
          <t>Route mismatch is contract-level, not a functional UI failure. | Implemented + automated tests added 2026-08-13 (see README PD-002/003/004 gap remediation section). Awaiting independent re-audit before Closed. | Independently re-audited 2026-08-15: code, wiring and tests verified directly against the frozen expectation (not just re-reading prior notes). Full suite 1587/1587 passing, tsc clean. Closed.</t>
        </is>
      </c>
    </row>
    <row r="3" ht="110.4" customHeight="1">
      <c r="A3" s="2" t="inlineStr">
        <is>
          <t>PD-002</t>
        </is>
      </c>
      <c r="B3" s="2" t="inlineStr">
        <is>
          <t>PD2-G02</t>
        </is>
      </c>
      <c r="C3" s="2" t="inlineStr">
        <is>
          <t>API Contract</t>
        </is>
      </c>
      <c r="D3" s="2" t="inlineStr">
        <is>
          <t>High</t>
        </is>
      </c>
      <c r="E3" s="2" t="inlineStr">
        <is>
          <t>P1</t>
        </is>
      </c>
      <c r="F3" s="2" t="inlineStr">
        <is>
          <t>API-PD-003 must be GET /v1/parent/learners/{learnerId}/apps.</t>
        </is>
      </c>
      <c r="G3" s="2" t="inlineStr">
        <is>
          <t>Only the child endpoint /apps/{appId} is implemented under this path.</t>
        </is>
      </c>
      <c r="H3" s="2" t="inlineStr">
        <is>
          <t>The frozen compact Current/Past app selector endpoint is absent.</t>
        </is>
      </c>
      <c r="I3" s="2" t="inlineStr">
        <is>
          <t>Implement GET /v1/parent/learners/{learnerId}/apps returning the approved compact selector representation.</t>
        </is>
      </c>
      <c r="J3" s="2" t="inlineStr">
        <is>
          <t>Exact endpoint exists and returns only owned learner app selectors with correct Current/Past partitioning.</t>
        </is>
      </c>
      <c r="K3" s="2" t="inlineStr">
        <is>
          <t>Closed</t>
        </is>
      </c>
      <c r="L3" s="2" t="n"/>
      <c r="M3" s="2" t="inlineStr">
        <is>
          <t>src/app/v1/parent/learners/[learnerId]/apps/[appId]/route.ts</t>
        </is>
      </c>
      <c r="N3" s="2" t="inlineStr">
        <is>
          <t>Do not replace the frozen selector API with the selected-app detail API. | Implemented + automated tests added 2026-08-13 (see README PD-002/003/004 gap remediation section). Awaiting independent re-audit before Closed. | Independently re-audited 2026-08-15: code, wiring and tests verified directly against the frozen expectation (not just re-reading prior notes). Full suite 1587/1587 passing, tsc clean. Closed.</t>
        </is>
      </c>
    </row>
    <row r="4" ht="69" customHeight="1">
      <c r="A4" s="2" t="inlineStr">
        <is>
          <t>PD-002</t>
        </is>
      </c>
      <c r="B4" s="2" t="inlineStr">
        <is>
          <t>PD2-G03</t>
        </is>
      </c>
      <c r="C4" s="2" t="inlineStr">
        <is>
          <t>Request Contract</t>
        </is>
      </c>
      <c r="D4" s="2" t="inlineStr">
        <is>
          <t>High</t>
        </is>
      </c>
      <c r="E4" s="2" t="inlineStr">
        <is>
          <t>P1</t>
        </is>
      </c>
      <c r="F4" s="2" t="inlineStr">
        <is>
          <t>API-PD-002 accepts section=current|past and optional appId.</t>
        </is>
      </c>
      <c r="G4" s="2" t="inlineStr">
        <is>
          <t>Current learner-detail API does not implement the frozen section/app selection request contract.</t>
        </is>
      </c>
      <c r="H4" s="2" t="inlineStr">
        <is>
          <t>Clients cannot exercise the exact frozen selection contract.</t>
        </is>
      </c>
      <c r="I4" s="2" t="inlineStr">
        <is>
          <t>Add validated section and optional appId handling to API-PD-002.</t>
        </is>
      </c>
      <c r="J4" s="2" t="inlineStr">
        <is>
          <t>Valid section/app combinations return 200; invalid values return safe 400; stale section/app selection follows the frozen response.</t>
        </is>
      </c>
      <c r="K4" s="2" t="inlineStr">
        <is>
          <t>Closed</t>
        </is>
      </c>
      <c r="L4" s="2" t="n"/>
      <c r="M4" s="2" t="inlineStr">
        <is>
          <t>src/app/v1/parent/learners/[learnerId]/route.ts</t>
        </is>
      </c>
      <c r="N4" s="2" t="inlineStr">
        <is>
          <t>Implemented + automated tests added 2026-08-13 (see README PD-002/003/004 gap remediation section). Awaiting independent re-audit before Closed. | Independently re-audited 2026-08-15: code, wiring and tests verified directly against the frozen expectation (not just re-reading prior notes). Full suite 1587/1587 passing, tsc clean. Closed.</t>
        </is>
      </c>
    </row>
    <row r="5" ht="69" customHeight="1">
      <c r="A5" s="2" t="inlineStr">
        <is>
          <t>PD-002</t>
        </is>
      </c>
      <c r="B5" s="2" t="inlineStr">
        <is>
          <t>PD2-G04</t>
        </is>
      </c>
      <c r="C5" s="2" t="inlineStr">
        <is>
          <t>Error Handling</t>
        </is>
      </c>
      <c r="D5" s="2" t="inlineStr">
        <is>
          <t>Medium</t>
        </is>
      </c>
      <c r="E5" s="2" t="inlineStr">
        <is>
          <t>P2</t>
        </is>
      </c>
      <c r="F5" s="2" t="inlineStr">
        <is>
          <t>A stale app selection for the requested Current/Past section must return 409.</t>
        </is>
      </c>
      <c r="G5" s="2" t="inlineStr">
        <is>
          <t>Current route primarily maps failures to 404/400.</t>
        </is>
      </c>
      <c r="H5" s="2" t="inlineStr">
        <is>
          <t>Frozen stale-selection semantics are not represented.</t>
        </is>
      </c>
      <c r="I5" s="2" t="inlineStr">
        <is>
          <t>Detect when appId exists for the learner but not in the requested section and return the approved 409 response.</t>
        </is>
      </c>
      <c r="J5" s="2" t="inlineStr">
        <is>
          <t>Automated test demonstrates 409 for stale section/app selection without leaking data.</t>
        </is>
      </c>
      <c r="K5" s="2" t="inlineStr">
        <is>
          <t>Closed</t>
        </is>
      </c>
      <c r="L5" s="2" t="n"/>
      <c r="M5" s="2" t="inlineStr">
        <is>
          <t>src/lib/parent-learner-detail/service.ts</t>
        </is>
      </c>
      <c r="N5" s="2" t="inlineStr">
        <is>
          <t>Implemented + automated tests added 2026-08-13 (see README PD-002/003/004 gap remediation section). Awaiting independent re-audit before Closed. | Independently re-audited 2026-08-15: code, wiring and tests verified directly against the frozen expectation (not just re-reading prior notes). Full suite 1587/1587 passing, tsc clean. Closed.</t>
        </is>
      </c>
    </row>
    <row r="6" ht="96.59999999999999" customHeight="1">
      <c r="A6" s="2" t="inlineStr">
        <is>
          <t>PD-002</t>
        </is>
      </c>
      <c r="B6" s="2" t="inlineStr">
        <is>
          <t>PD2-G05</t>
        </is>
      </c>
      <c r="C6" s="2" t="inlineStr">
        <is>
          <t>Response Contract</t>
        </is>
      </c>
      <c r="D6" s="2" t="inlineStr">
        <is>
          <t>Medium</t>
        </is>
      </c>
      <c r="E6" s="2" t="inlineStr">
        <is>
          <t>P2</t>
        </is>
      </c>
      <c r="F6" s="2" t="inlineStr">
        <is>
          <t>API-PD-002 returns learner/header/selectors/selectedAppDetail/componentErrors/detailVersion/composedAt.</t>
        </is>
      </c>
      <c r="G6" s="2" t="inlineStr">
        <is>
          <t>Current data is split between learner detail and selected-app detail endpoints with a different response shape.</t>
        </is>
      </c>
      <c r="H6" s="2" t="inlineStr">
        <is>
          <t>Frozen composite response schema is not implemented.</t>
        </is>
      </c>
      <c r="I6" s="2" t="inlineStr">
        <is>
          <t>Create an API adapter/composer that packages existing good composition into the exact frozen response schema.</t>
        </is>
      </c>
      <c r="J6" s="2" t="inlineStr">
        <is>
          <t>Response fields and version semantics match the frozen API contract exactly.</t>
        </is>
      </c>
      <c r="K6" s="2" t="inlineStr">
        <is>
          <t>Closed</t>
        </is>
      </c>
      <c r="L6" s="2" t="n"/>
      <c r="M6" s="2" t="inlineStr">
        <is>
          <t>src/lib/parent-learner-detail/service.ts</t>
        </is>
      </c>
      <c r="N6" s="2" t="inlineStr">
        <is>
          <t>Reuse existing composition rather than duplicating learning logic. | Implemented + automated tests added 2026-08-13 (see README PD-002/003/004 gap remediation section). Awaiting independent re-audit before Closed. | Independently re-audited 2026-08-15: code, wiring and tests verified directly against the frozen expectation (not just re-reading prior notes). Full suite 1587/1587 passing, tsc clean. Closed.</t>
        </is>
      </c>
    </row>
    <row r="7" ht="69" customHeight="1">
      <c r="A7" s="2" t="inlineStr">
        <is>
          <t>PD-002</t>
        </is>
      </c>
      <c r="B7" s="2" t="inlineStr">
        <is>
          <t>PD2-G06</t>
        </is>
      </c>
      <c r="C7" s="2" t="inlineStr">
        <is>
          <t>Reliability</t>
        </is>
      </c>
      <c r="D7" s="2" t="inlineStr">
        <is>
          <t>High</t>
        </is>
      </c>
      <c r="E7" s="2" t="inlineStr">
        <is>
          <t>P1</t>
        </is>
      </c>
      <c r="F7" s="2" t="inlineStr">
        <is>
          <t>Failures of progress, achievement, journey, availability, or billing components are isolated and surfaced through componentErrors.</t>
        </is>
      </c>
      <c r="G7" s="2" t="inlineStr">
        <is>
          <t>Several downstream service calls are direct; an exception can fail the selected-app composition.</t>
        </is>
      </c>
      <c r="H7" s="2" t="inlineStr">
        <is>
          <t>Component-level partial-failure isolation is incomplete.</t>
        </is>
      </c>
      <c r="I7" s="2" t="inlineStr">
        <is>
          <t>Wrap non-authoritative presentation components independently and populate componentErrors while preserving safe usable sections.</t>
        </is>
      </c>
      <c r="J7" s="2" t="inlineStr">
        <is>
          <t>Injected failure tests prove one component can fail without taking down the full learner detail.</t>
        </is>
      </c>
      <c r="K7" s="2" t="inlineStr">
        <is>
          <t>Closed</t>
        </is>
      </c>
      <c r="L7" s="2" t="n"/>
      <c r="M7" s="2" t="inlineStr">
        <is>
          <t>src/lib/parent-learner-detail/service.ts</t>
        </is>
      </c>
      <c r="N7" s="2" t="inlineStr">
        <is>
          <t>Implemented + automated tests added 2026-08-13 (see README PD-002/003/004 gap remediation section). Awaiting independent re-audit before Closed. | Independently re-audited 2026-08-15: code, wiring and tests verified directly against the frozen expectation (not just re-reading prior notes). Full suite 1587/1587 passing, tsc clean. Closed.</t>
        </is>
      </c>
    </row>
    <row r="8" ht="69" customHeight="1">
      <c r="A8" s="2" t="inlineStr">
        <is>
          <t>PD-002</t>
        </is>
      </c>
      <c r="B8" s="2" t="inlineStr">
        <is>
          <t>PD2-G07</t>
        </is>
      </c>
      <c r="C8" s="2" t="inlineStr">
        <is>
          <t>UI Detail</t>
        </is>
      </c>
      <c r="D8" s="2" t="inlineStr">
        <is>
          <t>Low</t>
        </is>
      </c>
      <c r="E8" s="2" t="inlineStr">
        <is>
          <t>P3</t>
        </is>
      </c>
      <c r="F8" s="2" t="inlineStr">
        <is>
          <t>Selected app detail includes PR-003 currentLevel, nextDestination and completedMilestone where available.</t>
        </is>
      </c>
      <c r="G8" s="2" t="inlineStr">
        <is>
          <t>UI visibly renders current level and next destination, but not the completed milestone field.</t>
        </is>
      </c>
      <c r="H8" s="2" t="inlineStr">
        <is>
          <t>One approved progress detail is not surfaced.</t>
        </is>
      </c>
      <c r="I8" s="2" t="inlineStr">
        <is>
          <t>Add the safe completed milestone presentation when supplied by the authoritative progress model.</t>
        </is>
      </c>
      <c r="J8" s="2" t="inlineStr">
        <is>
          <t>Completed milestone appears only when available and does not invent overall mastery/global percentage.</t>
        </is>
      </c>
      <c r="K8" s="2" t="inlineStr">
        <is>
          <t>Closed</t>
        </is>
      </c>
      <c r="L8" s="2" t="n"/>
      <c r="M8" s="2" t="inlineStr">
        <is>
          <t>src/app/account/learners/[learnerId]/apps/page.tsx</t>
        </is>
      </c>
      <c r="N8" s="2" t="inlineStr">
        <is>
          <t>Implemented + automated tests added 2026-08-13 (see README PD-002/003/004 gap remediation section). Awaiting independent re-audit before Closed. | Independently re-audited 2026-08-15: code, wiring and tests verified directly against the frozen expectation (not just re-reading prior notes). Full suite 1587/1587 passing, tsc clean. Closed.</t>
        </is>
      </c>
    </row>
    <row r="9" ht="69" customHeight="1">
      <c r="A9" s="2" t="inlineStr">
        <is>
          <t>PD-002</t>
        </is>
      </c>
      <c r="B9" s="2" t="inlineStr">
        <is>
          <t>PD2-G08</t>
        </is>
      </c>
      <c r="C9" s="2" t="inlineStr">
        <is>
          <t>Traceability</t>
        </is>
      </c>
      <c r="D9" s="2" t="inlineStr">
        <is>
          <t>Medium</t>
        </is>
      </c>
      <c r="E9" s="2" t="inlineStr">
        <is>
          <t>P2</t>
        </is>
      </c>
      <c r="F9" s="2" t="inlineStr">
        <is>
          <t>Frozen acceptance cases AT-PD-002-01 through AT-PD-002-50 are traceable to executable tests.</t>
        </is>
      </c>
      <c r="G9" s="2" t="inlineStr">
        <is>
          <t>New PD-002 tests exist, but they are not explicitly mapped to the frozen AT identifiers.</t>
        </is>
      </c>
      <c r="H9" s="2" t="inlineStr">
        <is>
          <t>Requirement-to-test traceability is incomplete.</t>
        </is>
      </c>
      <c r="I9" s="2" t="inlineStr">
        <is>
          <t>Create explicit AT mapping and add any missing executable cases.</t>
        </is>
      </c>
      <c r="J9" s="2" t="inlineStr">
        <is>
          <t>Every frozen AT-PD-002 case has a test or documented exact mapping with all tests passing.</t>
        </is>
      </c>
      <c r="K9" s="2" t="inlineStr">
        <is>
          <t>Closed</t>
        </is>
      </c>
      <c r="L9" s="2" t="n"/>
      <c r="M9" s="2" t="inlineStr">
        <is>
          <t>tests/pd-002-learner-detail.test.ts; tests/pd-002-learner-detail-routes.test.ts</t>
        </is>
      </c>
      <c r="N9" s="2" t="inlineStr">
        <is>
          <t>Implemented + automated tests added 2026-08-13 (see README PD-002/003/004 gap remediation section). Awaiting independent re-audit before Closed. | Independently re-audited 2026-08-15: code, wiring and tests verified directly against the frozen expectation (not just re-reading prior notes). Full suite 1587/1587 passing, tsc clean. Closed.</t>
        </is>
      </c>
    </row>
    <row r="10" ht="69" customHeight="1">
      <c r="A10" s="2" t="inlineStr">
        <is>
          <t>PD-003</t>
        </is>
      </c>
      <c r="B10" s="2" t="inlineStr">
        <is>
          <t>PD3-G01</t>
        </is>
      </c>
      <c r="C10" s="2" t="inlineStr">
        <is>
          <t>API Contract</t>
        </is>
      </c>
      <c r="D10" s="2" t="inlineStr">
        <is>
          <t>High</t>
        </is>
      </c>
      <c r="E10" s="2" t="inlineStr">
        <is>
          <t>P1</t>
        </is>
      </c>
      <c r="F10" s="2" t="inlineStr">
        <is>
          <t>API-PD-004 must be GET /v1/parent/attention-center.</t>
        </is>
      </c>
      <c r="G10" s="2" t="inlineStr">
        <is>
          <t>Current implementation exposes GET /v1/parent/attention.</t>
        </is>
      </c>
      <c r="H10" s="2" t="inlineStr">
        <is>
          <t>Frozen endpoint path is not implemented.</t>
        </is>
      </c>
      <c r="I10" s="2" t="inlineStr">
        <is>
          <t>Add the exact /v1/parent/attention-center endpoint over the canonical attention composer.</t>
        </is>
      </c>
      <c r="J10" s="2" t="inlineStr">
        <is>
          <t>Exact frozen endpoint exists and passes contract tests.</t>
        </is>
      </c>
      <c r="K10" s="2" t="inlineStr">
        <is>
          <t>Closed</t>
        </is>
      </c>
      <c r="L10" s="2" t="n"/>
      <c r="M10" s="2" t="inlineStr">
        <is>
          <t>src/app/v1/parent/attention/route.ts</t>
        </is>
      </c>
      <c r="N10" s="2" t="inlineStr">
        <is>
          <t>Implemented + automated tests added 2026-08-13 (see README PD-002/003/004 gap remediation section). Awaiting independent re-audit before Closed. | Independently re-audited 2026-08-15: code, wiring and tests verified directly against the frozen expectation (not just re-reading prior notes). Full suite 1587/1587 passing, tsc clean. Closed.</t>
        </is>
      </c>
    </row>
    <row r="11" ht="69" customHeight="1">
      <c r="A11" s="2" t="inlineStr">
        <is>
          <t>PD-003</t>
        </is>
      </c>
      <c r="B11" s="2" t="inlineStr">
        <is>
          <t>PD3-G02</t>
        </is>
      </c>
      <c r="C11" s="2" t="inlineStr">
        <is>
          <t>API Contract</t>
        </is>
      </c>
      <c r="D11" s="2" t="inlineStr">
        <is>
          <t>High</t>
        </is>
      </c>
      <c r="E11" s="2" t="inlineStr">
        <is>
          <t>P1</t>
        </is>
      </c>
      <c r="F11" s="2" t="inlineStr">
        <is>
          <t>API-PD-005 must be GET /v1/parent/attention-summary.</t>
        </is>
      </c>
      <c r="G11" s="2" t="inlineStr">
        <is>
          <t>Current implementation exposes GET /v1/parent/attention/summary.</t>
        </is>
      </c>
      <c r="H11" s="2" t="inlineStr">
        <is>
          <t>Frozen summary endpoint path is not implemented.</t>
        </is>
      </c>
      <c r="I11" s="2" t="inlineStr">
        <is>
          <t>Add the exact /v1/parent/attention-summary endpoint using the same canonical attention algorithm.</t>
        </is>
      </c>
      <c r="J11" s="2" t="inlineStr">
        <is>
          <t>Exact summary endpoint exists and no duplicate attention algorithm is introduced.</t>
        </is>
      </c>
      <c r="K11" s="2" t="inlineStr">
        <is>
          <t>Closed</t>
        </is>
      </c>
      <c r="L11" s="2" t="n"/>
      <c r="M11" s="2" t="inlineStr">
        <is>
          <t>src/app/v1/parent/attention/summary/route.ts</t>
        </is>
      </c>
      <c r="N11" s="2" t="inlineStr">
        <is>
          <t>Implemented + automated tests added 2026-08-13 (see README PD-002/003/004 gap remediation section). Awaiting independent re-audit before Closed. | Independently re-audited 2026-08-15: code, wiring and tests verified directly against the frozen expectation (not just re-reading prior notes). Full suite 1587/1587 passing, tsc clean. Closed.</t>
        </is>
      </c>
    </row>
    <row r="12" ht="69" customHeight="1">
      <c r="A12" s="2" t="inlineStr">
        <is>
          <t>PD-003</t>
        </is>
      </c>
      <c r="B12" s="2" t="inlineStr">
        <is>
          <t>PD3-G03</t>
        </is>
      </c>
      <c r="C12" s="2" t="inlineStr">
        <is>
          <t>Filtering</t>
        </is>
      </c>
      <c r="D12" s="2" t="inlineStr">
        <is>
          <t>High</t>
        </is>
      </c>
      <c r="E12" s="2" t="inlineStr">
        <is>
          <t>P1</t>
        </is>
      </c>
      <c r="F12" s="2" t="inlineStr">
        <is>
          <t>API-PD-004 supports learnerId, category and severity filters.</t>
        </is>
      </c>
      <c r="G12" s="2" t="inlineStr">
        <is>
          <t>Current route does not inspect these query parameters.</t>
        </is>
      </c>
      <c r="H12" s="2" t="inlineStr">
        <is>
          <t>Frozen filtering surface is absent.</t>
        </is>
      </c>
      <c r="I12" s="2" t="inlineStr">
        <is>
          <t>Validate and apply learner/category/severity filters after canonical composition and before pagination.</t>
        </is>
      </c>
      <c r="J12" s="2" t="inlineStr">
        <is>
          <t>Valid filters return only matching owned data; invalid filters safely return 400.</t>
        </is>
      </c>
      <c r="K12" s="2" t="inlineStr">
        <is>
          <t>Closed</t>
        </is>
      </c>
      <c r="L12" s="2" t="n"/>
      <c r="M12" s="2" t="inlineStr">
        <is>
          <t>src/app/v1/parent/attention/route.ts</t>
        </is>
      </c>
      <c r="N12" s="2" t="inlineStr">
        <is>
          <t>Implemented + automated tests added 2026-08-13 (see README PD-002/003/004 gap remediation section). Awaiting independent re-audit before Closed. | Independently re-audited 2026-08-15: code, wiring and tests verified directly against the frozen expectation (not just re-reading prior notes). Full suite 1587/1587 passing, tsc clean. Closed.</t>
        </is>
      </c>
    </row>
    <row r="13" ht="69" customHeight="1">
      <c r="A13" s="2" t="inlineStr">
        <is>
          <t>PD-003</t>
        </is>
      </c>
      <c r="B13" s="2" t="inlineStr">
        <is>
          <t>PD3-G04</t>
        </is>
      </c>
      <c r="C13" s="2" t="inlineStr">
        <is>
          <t>Pagination</t>
        </is>
      </c>
      <c r="D13" s="2" t="inlineStr">
        <is>
          <t>High</t>
        </is>
      </c>
      <c r="E13" s="2" t="inlineStr">
        <is>
          <t>P1</t>
        </is>
      </c>
      <c r="F13" s="2" t="inlineStr">
        <is>
          <t>API-PD-004 supports deterministic cursor pagination with limit and nextCursor.</t>
        </is>
      </c>
      <c r="G13" s="2" t="inlineStr">
        <is>
          <t>Current endpoint returns the complete items array.</t>
        </is>
      </c>
      <c r="H13" s="2" t="inlineStr">
        <is>
          <t>Response is unbounded and lacks frozen cursor semantics.</t>
        </is>
      </c>
      <c r="I13" s="2" t="inlineStr">
        <is>
          <t>Implement stable cursor pagination after canonical sort/dedup, with validated bounds.</t>
        </is>
      </c>
      <c r="J13" s="2" t="inlineStr">
        <is>
          <t>Repeated calls with same version/cursor return stable pages and no duplicates or skips.</t>
        </is>
      </c>
      <c r="K13" s="2" t="inlineStr">
        <is>
          <t>Closed</t>
        </is>
      </c>
      <c r="L13" s="2" t="n"/>
      <c r="M13" s="2" t="inlineStr">
        <is>
          <t>src/lib/parent-attention/service.ts</t>
        </is>
      </c>
      <c r="N13" s="2" t="inlineStr">
        <is>
          <t>Implemented + automated tests added 2026-08-13 (see README PD-002/003/004 gap remediation section). Awaiting independent re-audit before Closed. | Independently re-audited 2026-08-15: code, wiring and tests verified directly against the frozen expectation (not just re-reading prior notes). Full suite 1587/1587 passing, tsc clean. Closed.</t>
        </is>
      </c>
    </row>
    <row r="14" ht="69" customHeight="1">
      <c r="A14" s="2" t="inlineStr">
        <is>
          <t>PD-003</t>
        </is>
      </c>
      <c r="B14" s="2" t="inlineStr">
        <is>
          <t>PD3-G05</t>
        </is>
      </c>
      <c r="C14" s="2" t="inlineStr">
        <is>
          <t>Response Contract</t>
        </is>
      </c>
      <c r="D14" s="2" t="inlineStr">
        <is>
          <t>Medium</t>
        </is>
      </c>
      <c r="E14" s="2" t="inlineStr">
        <is>
          <t>P2</t>
        </is>
      </c>
      <c r="F14" s="2" t="inlineStr">
        <is>
          <t>Full response includes attentionVersion, composedAt, optional nextRecheckAt, summary, items, partialErrors and optional nextCursor.</t>
        </is>
      </c>
      <c r="G14" s="2" t="inlineStr">
        <is>
          <t>Current ParentAttentionResponse contains composedAt, version, items and partialErrors.</t>
        </is>
      </c>
      <c r="H14" s="2" t="inlineStr">
        <is>
          <t>Frozen response schema is incomplete.</t>
        </is>
      </c>
      <c r="I14" s="2" t="inlineStr">
        <is>
          <t>Add an API response adapter matching the frozen field names and summary/version semantics.</t>
        </is>
      </c>
      <c r="J14" s="2" t="inlineStr">
        <is>
          <t>API-PD-004 response matches the approved schema and preserves ETag behavior.</t>
        </is>
      </c>
      <c r="K14" s="2" t="inlineStr">
        <is>
          <t>Closed</t>
        </is>
      </c>
      <c r="L14" s="2" t="n"/>
      <c r="M14" s="2" t="inlineStr">
        <is>
          <t>src/lib/parent-attention/contracts.ts</t>
        </is>
      </c>
      <c r="N14" s="2" t="inlineStr">
        <is>
          <t>Implemented + automated tests added 2026-08-13 (see README PD-002/003/004 gap remediation section). Awaiting independent re-audit before Closed. | Independently re-audited 2026-08-15: code, wiring and tests verified directly against the frozen expectation (not just re-reading prior notes). Full suite 1587/1587 passing, tsc clean. Closed.</t>
        </is>
      </c>
    </row>
    <row r="15" ht="69" customHeight="1">
      <c r="A15" s="2" t="inlineStr">
        <is>
          <t>PD-003</t>
        </is>
      </c>
      <c r="B15" s="2" t="inlineStr">
        <is>
          <t>PD3-G06</t>
        </is>
      </c>
      <c r="C15" s="2" t="inlineStr">
        <is>
          <t>Response Contract</t>
        </is>
      </c>
      <c r="D15" s="2" t="inlineStr">
        <is>
          <t>Medium</t>
        </is>
      </c>
      <c r="E15" s="2" t="inlineStr">
        <is>
          <t>P2</t>
        </is>
      </c>
      <c r="F15" s="2" t="inlineStr">
        <is>
          <t>Summary includes actionRequiredCount, attentionCount, infoCount, preview and attentionVersion.</t>
        </is>
      </c>
      <c r="G15" s="2" t="inlineStr">
        <is>
          <t>Current badge lacks infoCount and uses version/hasItems fields.</t>
        </is>
      </c>
      <c r="H15" s="2" t="inlineStr">
        <is>
          <t>Frozen summary response is incomplete/different.</t>
        </is>
      </c>
      <c r="I15" s="2" t="inlineStr">
        <is>
          <t>Expose the frozen summary shape; internal hasItems may remain internal if useful.</t>
        </is>
      </c>
      <c r="J15" s="2" t="inlineStr">
        <is>
          <t>API-PD-005 reports correct counts including infoCount and frozen version naming.</t>
        </is>
      </c>
      <c r="K15" s="2" t="inlineStr">
        <is>
          <t>Closed</t>
        </is>
      </c>
      <c r="L15" s="2" t="n"/>
      <c r="M15" s="2" t="inlineStr">
        <is>
          <t>src/lib/parent-attention/contracts.ts</t>
        </is>
      </c>
      <c r="N15" s="2" t="inlineStr">
        <is>
          <t>Implemented + automated tests added 2026-08-13 (see README PD-002/003/004 gap remediation section). Awaiting independent re-audit before Closed. | Independently re-audited 2026-08-15: code, wiring and tests verified directly against the frozen expectation (not just re-reading prior notes). Full suite 1587/1587 passing, tsc clean. Closed.</t>
        </is>
      </c>
    </row>
    <row r="16" ht="69" customHeight="1">
      <c r="A16" s="2" t="inlineStr">
        <is>
          <t>PD-003</t>
        </is>
      </c>
      <c r="B16" s="2" t="inlineStr">
        <is>
          <t>PD3-G07</t>
        </is>
      </c>
      <c r="C16" s="2" t="inlineStr">
        <is>
          <t>Request Contract</t>
        </is>
      </c>
      <c r="D16" s="2" t="inlineStr">
        <is>
          <t>Medium</t>
        </is>
      </c>
      <c r="E16" s="2" t="inlineStr">
        <is>
          <t>P2</t>
        </is>
      </c>
      <c r="F16" s="2" t="inlineStr">
        <is>
          <t>API-PD-005 accepts optional learnerId and bounded limit &lt;=5.</t>
        </is>
      </c>
      <c r="G16" s="2" t="inlineStr">
        <is>
          <t>Current preview size is hard-coded to 3.</t>
        </is>
      </c>
      <c r="H16" s="2" t="inlineStr">
        <is>
          <t>Frozen caller-controlled bounded summary contract is absent.</t>
        </is>
      </c>
      <c r="I16" s="2" t="inlineStr">
        <is>
          <t>Support learnerId scoping and validated limit up to 5 without creating a second composition policy.</t>
        </is>
      </c>
      <c r="J16" s="2" t="inlineStr">
        <is>
          <t>Limit 1-5 works; invalid limits return safe 400; learner scoping cannot expose another parent's learner.</t>
        </is>
      </c>
      <c r="K16" s="2" t="inlineStr">
        <is>
          <t>Closed</t>
        </is>
      </c>
      <c r="L16" s="2" t="n"/>
      <c r="M16" s="2" t="inlineStr">
        <is>
          <t>src/lib/parent-attention/service.ts</t>
        </is>
      </c>
      <c r="N16" s="2" t="inlineStr">
        <is>
          <t>Implemented + automated tests added 2026-08-13 (see README PD-002/003/004 gap remediation section). Awaiting independent re-audit before Closed. | Independently re-audited 2026-08-15: code, wiring and tests verified directly against the frozen expectation (not just re-reading prior notes). Full suite 1587/1587 passing, tsc clean. Closed.</t>
        </is>
      </c>
    </row>
    <row r="17" ht="69" customHeight="1">
      <c r="A17" s="2" t="inlineStr">
        <is>
          <t>PD-003</t>
        </is>
      </c>
      <c r="B17" s="2" t="inlineStr">
        <is>
          <t>PD3-G08</t>
        </is>
      </c>
      <c r="C17" s="2" t="inlineStr">
        <is>
          <t>UI</t>
        </is>
      </c>
      <c r="D17" s="2" t="inlineStr">
        <is>
          <t>Medium</t>
        </is>
      </c>
      <c r="E17" s="2" t="inlineStr">
        <is>
          <t>P2</t>
        </is>
      </c>
      <c r="F17" s="2" t="inlineStr">
        <is>
          <t>Desktop Attention Center supports frozen severity/category/learner filtering behavior.</t>
        </is>
      </c>
      <c r="G17" s="2" t="inlineStr">
        <is>
          <t>Current page renders all attention items without filter controls.</t>
        </is>
      </c>
      <c r="H17" s="2" t="inlineStr">
        <is>
          <t>UI does not expose the frozen filtering experience.</t>
        </is>
      </c>
      <c r="I17" s="2" t="inlineStr">
        <is>
          <t>Add accessible parent-only filters driven by API-PD-004 semantics.</t>
        </is>
      </c>
      <c r="J17" s="2" t="inlineStr">
        <is>
          <t>Filters work on desktop/mobile and do not mutate underlying source states.</t>
        </is>
      </c>
      <c r="K17" s="2" t="inlineStr">
        <is>
          <t>Closed</t>
        </is>
      </c>
      <c r="L17" s="2" t="n"/>
      <c r="M17" s="2" t="inlineStr">
        <is>
          <t>src/app/account/attention/page.tsx</t>
        </is>
      </c>
      <c r="N17" s="2" t="inlineStr">
        <is>
          <t>Implemented + automated tests added 2026-08-13 (see README PD-002/003/004 gap remediation section). Awaiting independent re-audit before Closed. | Independently re-audited 2026-08-15: code, wiring and tests verified directly against the frozen expectation (not just re-reading prior notes). Full suite 1587/1587 passing, tsc clean. Closed.</t>
        </is>
      </c>
    </row>
    <row r="18" ht="69" customHeight="1">
      <c r="A18" s="2" t="inlineStr">
        <is>
          <t>PD-003</t>
        </is>
      </c>
      <c r="B18" s="2" t="inlineStr">
        <is>
          <t>PD3-G09</t>
        </is>
      </c>
      <c r="C18" s="2" t="inlineStr">
        <is>
          <t>Validation</t>
        </is>
      </c>
      <c r="D18" s="2" t="inlineStr">
        <is>
          <t>Low</t>
        </is>
      </c>
      <c r="E18" s="2" t="inlineStr">
        <is>
          <t>P3</t>
        </is>
      </c>
      <c r="F18" s="2" t="inlineStr">
        <is>
          <t>Invalid filter/cursor/limit values return controlled safe errors.</t>
        </is>
      </c>
      <c r="G18" s="2" t="inlineStr">
        <is>
          <t>These inputs are not implemented, so their validation/error contract is absent.</t>
        </is>
      </c>
      <c r="H18" s="2" t="inlineStr">
        <is>
          <t>Frozen validation behavior is missing.</t>
        </is>
      </c>
      <c r="I18" s="2" t="inlineStr">
        <is>
          <t>Add strict allowlists and cursor/limit validation with safe non-leaking errors.</t>
        </is>
      </c>
      <c r="J18" s="2" t="inlineStr">
        <is>
          <t>Negative tests cover malformed category, severity, learner, cursor and limit inputs.</t>
        </is>
      </c>
      <c r="K18" s="2" t="inlineStr">
        <is>
          <t>Closed</t>
        </is>
      </c>
      <c r="L18" s="2" t="n"/>
      <c r="M18" s="2" t="inlineStr">
        <is>
          <t>src/app/v1/parent/attention/route.ts</t>
        </is>
      </c>
      <c r="N18" s="2" t="inlineStr">
        <is>
          <t>Implemented + automated tests added 2026-08-13 (see README PD-002/003/004 gap remediation section). Awaiting independent re-audit before Closed. | Independently re-audited 2026-08-15: code, wiring and tests verified directly against the frozen expectation (not just re-reading prior notes). Full suite 1587/1587 passing, tsc clean. Closed.</t>
        </is>
      </c>
    </row>
    <row r="19" ht="69" customHeight="1">
      <c r="A19" s="2" t="inlineStr">
        <is>
          <t>PD-003</t>
        </is>
      </c>
      <c r="B19" s="2" t="inlineStr">
        <is>
          <t>PD3-G10</t>
        </is>
      </c>
      <c r="C19" s="2" t="inlineStr">
        <is>
          <t>Traceability</t>
        </is>
      </c>
      <c r="D19" s="2" t="inlineStr">
        <is>
          <t>Medium</t>
        </is>
      </c>
      <c r="E19" s="2" t="inlineStr">
        <is>
          <t>P2</t>
        </is>
      </c>
      <c r="F19" s="2" t="inlineStr">
        <is>
          <t>Frozen AT-PD-003-01 through AT-PD-003-48 are traceable to executable tests.</t>
        </is>
      </c>
      <c r="G19" s="2" t="inlineStr">
        <is>
          <t>Strong behavior tests exist but are not explicitly mapped to frozen AT IDs.</t>
        </is>
      </c>
      <c r="H19" s="2" t="inlineStr">
        <is>
          <t>Acceptance traceability remains incomplete.</t>
        </is>
      </c>
      <c r="I19" s="2" t="inlineStr">
        <is>
          <t>Map current tests to AT IDs and implement any missing cases.</t>
        </is>
      </c>
      <c r="J19" s="2" t="inlineStr">
        <is>
          <t>All 48 frozen cases have traceable passing coverage.</t>
        </is>
      </c>
      <c r="K19" s="2" t="inlineStr">
        <is>
          <t>Closed</t>
        </is>
      </c>
      <c r="L19" s="2" t="n"/>
      <c r="M19" s="2" t="inlineStr">
        <is>
          <t>tests/pd-003-attention.test.ts; tests/pd-003-attention-routes.test.ts</t>
        </is>
      </c>
      <c r="N19" s="2" t="inlineStr">
        <is>
          <t>Implemented + automated tests added 2026-08-13 (see README PD-002/003/004 gap remediation section). Awaiting independent re-audit before Closed. | Independently re-audited 2026-08-15: code, wiring and tests verified directly against the frozen expectation (not just re-reading prior notes). Full suite 1587/1587 passing, tsc clean. Closed.</t>
        </is>
      </c>
    </row>
    <row r="20" ht="110.4" customHeight="1">
      <c r="A20" s="2" t="inlineStr">
        <is>
          <t>PD-004</t>
        </is>
      </c>
      <c r="B20" s="2" t="inlineStr">
        <is>
          <t>PD4-G01</t>
        </is>
      </c>
      <c r="C20" s="2" t="inlineStr">
        <is>
          <t>Security</t>
        </is>
      </c>
      <c r="D20" s="2" t="inlineStr">
        <is>
          <t>Critical</t>
        </is>
      </c>
      <c r="E20" s="2" t="inlineStr">
        <is>
          <t>P0</t>
        </is>
      </c>
      <c r="F20" s="2" t="inlineStr">
        <is>
          <t>Parent/learner mode transitions use an authoritative modeGeneration and increment it on successful transition.</t>
        </is>
      </c>
      <c r="G20" s="2" t="inlineStr">
        <is>
          <t>Current shell context has no modeGeneration field; commit documentation explicitly notes it is absent.</t>
        </is>
      </c>
      <c r="H20" s="2" t="inlineStr">
        <is>
          <t>Core frozen mode-generation security mechanism is missing.</t>
        </is>
      </c>
      <c r="I20" s="2" t="inlineStr">
        <is>
          <t>Introduce authoritative modeGeneration bound to the authenticated mode/session lifecycle and increment it on successful mode transitions.</t>
        </is>
      </c>
      <c r="J20" s="2" t="inlineStr">
        <is>
          <t>Server and client can compare current generation; transition tests prove generation changes and stale generations fail closed.</t>
        </is>
      </c>
      <c r="K20" s="2" t="inlineStr">
        <is>
          <t>Closed</t>
        </is>
      </c>
      <c r="L20" s="2" t="n"/>
      <c r="M20" s="2" t="inlineStr">
        <is>
          <t>src/lib/parent-shell/service.ts</t>
        </is>
      </c>
      <c r="N20" s="2" t="inlineStr">
        <is>
          <t>Do not substitute normal request authorization for the frozen generation requirement. | Implemented + automated tests added 2026-08-13 (see README PD-002/003/004 gap remediation section). Awaiting independent re-audit before Closed. | Independently re-audited 2026-08-15: code, wiring and tests verified directly against the frozen expectation (not just re-reading prior notes). Full suite 1587/1587 passing, tsc clean. Closed.</t>
        </is>
      </c>
    </row>
    <row r="21" ht="69" customHeight="1">
      <c r="A21" s="2" t="inlineStr">
        <is>
          <t>PD-004</t>
        </is>
      </c>
      <c r="B21" s="2" t="inlineStr">
        <is>
          <t>PD4-G02</t>
        </is>
      </c>
      <c r="C21" s="2" t="inlineStr">
        <is>
          <t>API Contract</t>
        </is>
      </c>
      <c r="D21" s="2" t="inlineStr">
        <is>
          <t>High</t>
        </is>
      </c>
      <c r="E21" s="2" t="inlineStr">
        <is>
          <t>P1</t>
        </is>
      </c>
      <c r="F21" s="2" t="inlineStr">
        <is>
          <t>API-PD-006 returns shellVersion, composedAt, modeGeneration, navItems[], optional attentionSummary and capabilityHints.</t>
        </is>
      </c>
      <c r="G21" s="2" t="inlineStr">
        <is>
          <t>Current ParentShellContext returns composedAt, version and attentionBadge.</t>
        </is>
      </c>
      <c r="H21" s="2" t="inlineStr">
        <is>
          <t>Frozen shell-context schema is materially incomplete.</t>
        </is>
      </c>
      <c r="I21" s="2" t="inlineStr">
        <is>
          <t>Implement the exact API-PD-006 response schema using the authoritative generation and canonical nav/attention sources.</t>
        </is>
      </c>
      <c r="J21" s="2" t="inlineStr">
        <is>
          <t>Contract test validates exact response fields and graceful optional-component behavior.</t>
        </is>
      </c>
      <c r="K21" s="2" t="inlineStr">
        <is>
          <t>Closed</t>
        </is>
      </c>
      <c r="L21" s="2" t="n"/>
      <c r="M21" s="2" t="inlineStr">
        <is>
          <t>src/app/v1/parent/shell-context/route.ts; src/lib/parent-shell/service.ts</t>
        </is>
      </c>
      <c r="N21" s="2" t="inlineStr">
        <is>
          <t>Implemented + automated tests added 2026-08-13 (see README PD-002/003/004 gap remediation section). Awaiting independent re-audit before Closed. | Independently re-audited 2026-08-15: code, wiring and tests verified directly against the frozen expectation (not just re-reading prior notes). Full suite 1587/1587 passing, tsc clean. Closed.</t>
        </is>
      </c>
    </row>
    <row r="22" ht="69" customHeight="1">
      <c r="A22" s="2" t="inlineStr">
        <is>
          <t>PD-004</t>
        </is>
      </c>
      <c r="B22" s="2" t="inlineStr">
        <is>
          <t>PD4-G03</t>
        </is>
      </c>
      <c r="C22" s="2" t="inlineStr">
        <is>
          <t>Navigation Contract</t>
        </is>
      </c>
      <c r="D22" s="2" t="inlineStr">
        <is>
          <t>Medium</t>
        </is>
      </c>
      <c r="E22" s="2" t="inlineStr">
        <is>
          <t>P2</t>
        </is>
      </c>
      <c r="F22" s="2" t="inlineStr">
        <is>
          <t>Versioned navItems[] are supplied through the shell context.</t>
        </is>
      </c>
      <c r="G22" s="2" t="inlineStr">
        <is>
          <t>Navigation destinations are hard-coded independently inside ParentNav.</t>
        </is>
      </c>
      <c r="H22" s="2" t="inlineStr">
        <is>
          <t>Navigation definition is not represented in the frozen shell contract.</t>
        </is>
      </c>
      <c r="I22" s="2" t="inlineStr">
        <is>
          <t>Move or share a canonical nav definition so API-PD-006 and ParentNav consume the same versioned items.</t>
        </is>
      </c>
      <c r="J22" s="2" t="inlineStr">
        <is>
          <t>One canonical nav source drives desktop/mobile presentation and shell API output.</t>
        </is>
      </c>
      <c r="K22" s="2" t="inlineStr">
        <is>
          <t>Closed</t>
        </is>
      </c>
      <c r="L22" s="2" t="n"/>
      <c r="M22" s="2" t="inlineStr">
        <is>
          <t>src/components/account/parent-nav.tsx</t>
        </is>
      </c>
      <c r="N22" s="2" t="inlineStr">
        <is>
          <t>Implemented + automated tests added 2026-08-13 (see README PD-002/003/004 gap remediation section). Awaiting independent re-audit before Closed. | Independently re-audited 2026-08-15: code, wiring and tests verified directly against the frozen expectation (not just re-reading prior notes). Full suite 1587/1587 passing, tsc clean. Closed.</t>
        </is>
      </c>
    </row>
    <row r="23" ht="69" customHeight="1">
      <c r="A23" s="2" t="inlineStr">
        <is>
          <t>PD-004</t>
        </is>
      </c>
      <c r="B23" s="2" t="inlineStr">
        <is>
          <t>PD4-G04</t>
        </is>
      </c>
      <c r="C23" s="2" t="inlineStr">
        <is>
          <t>Browser Security</t>
        </is>
      </c>
      <c r="D23" s="2" t="inlineStr">
        <is>
          <t>Critical</t>
        </is>
      </c>
      <c r="E23" s="2" t="inlineStr">
        <is>
          <t>P0</t>
        </is>
      </c>
      <c r="F23" s="2" t="inlineStr">
        <is>
          <t>Pages restored from browser bfcache must revalidate modeGeneration before protected content remains usable.</t>
        </is>
      </c>
      <c r="G23" s="2" t="inlineStr">
        <is>
          <t>No demonstrated pageshow/bfcache generation guard is implemented.</t>
        </is>
      </c>
      <c r="H23" s="2" t="inlineStr">
        <is>
          <t>A stale protected page can potentially be visually restored without the frozen generation check.</t>
        </is>
      </c>
      <c r="I23" s="2" t="inlineStr">
        <is>
          <t>Add pageshow/bfcache revalidation and fail-closed redirect/reload behavior when generation is stale.</t>
        </is>
      </c>
      <c r="J23" s="2" t="inlineStr">
        <is>
          <t>Automated browser regression proves stale bfcache parent/learner pages cannot remain active.</t>
        </is>
      </c>
      <c r="K23" s="2" t="inlineStr">
        <is>
          <t>Closed</t>
        </is>
      </c>
      <c r="L23" s="2" t="n"/>
      <c r="M23" s="2" t="inlineStr">
        <is>
          <t>src/app/account/layout.tsx; client mode-guard component to be added</t>
        </is>
      </c>
      <c r="N23" s="2" t="inlineStr">
        <is>
          <t>Implemented + automated tests added 2026-08-13 (see README PD-002/003/004 gap remediation section). Awaiting independent re-audit before Closed. | Independently re-audited 2026-08-15: code, wiring and tests verified directly against the frozen expectation (not just re-reading prior notes). Full suite 1587/1587 passing, tsc clean. Closed.</t>
        </is>
      </c>
    </row>
    <row r="24" ht="69" customHeight="1">
      <c r="A24" s="2" t="inlineStr">
        <is>
          <t>PD-004</t>
        </is>
      </c>
      <c r="B24" s="2" t="inlineStr">
        <is>
          <t>PD4-G05</t>
        </is>
      </c>
      <c r="C24" s="2" t="inlineStr">
        <is>
          <t>Browser Security</t>
        </is>
      </c>
      <c r="D24" s="2" t="inlineStr">
        <is>
          <t>Critical</t>
        </is>
      </c>
      <c r="E24" s="2" t="inlineStr">
        <is>
          <t>P0</t>
        </is>
      </c>
      <c r="F24" s="2" t="inlineStr">
        <is>
          <t>Back/Forward navigation across parent/learner mode transitions revalidates current generation and fails closed.</t>
        </is>
      </c>
      <c r="G24" s="2" t="inlineStr">
        <is>
          <t>Current protection mainly relies on server guards when a new server request occurs.</t>
        </is>
      </c>
      <c r="H24" s="2" t="inlineStr">
        <is>
          <t>Frozen Back/Forward stale-context protection is incomplete.</t>
        </is>
      </c>
      <c r="I24" s="2" t="inlineStr">
        <is>
          <t>Bind protected client shell state to modeGeneration and force revalidation on history restoration/navigation.</t>
        </is>
      </c>
      <c r="J24" s="2" t="inlineStr">
        <is>
          <t>Back/Forward tests demonstrate stale protected context cannot be reused after a mode transition.</t>
        </is>
      </c>
      <c r="K24" s="2" t="inlineStr">
        <is>
          <t>Closed</t>
        </is>
      </c>
      <c r="L24" s="2" t="n"/>
      <c r="M24" s="2" t="inlineStr">
        <is>
          <t>src/app/account/layout.tsx; mode transition/session infrastructure</t>
        </is>
      </c>
      <c r="N24" s="2" t="inlineStr">
        <is>
          <t>Implemented + automated tests added 2026-08-13 (see README PD-002/003/004 gap remediation section). Awaiting independent re-audit before Closed. | Independently re-audited 2026-08-15: code, wiring and tests verified directly against the frozen expectation (not just re-reading prior notes). Full suite 1587/1587 passing, tsc clean. Closed.</t>
        </is>
      </c>
    </row>
    <row r="25" ht="69" customHeight="1">
      <c r="A25" s="2" t="inlineStr">
        <is>
          <t>PD-004</t>
        </is>
      </c>
      <c r="B25" s="2" t="inlineStr">
        <is>
          <t>PD4-G06</t>
        </is>
      </c>
      <c r="C25" s="2" t="inlineStr">
        <is>
          <t>Cache Security</t>
        </is>
      </c>
      <c r="D25" s="2" t="inlineStr">
        <is>
          <t>High</t>
        </is>
      </c>
      <c r="E25" s="2" t="inlineStr">
        <is>
          <t>P1</t>
        </is>
      </c>
      <c r="F25" s="2" t="inlineStr">
        <is>
          <t>Successful mode transitions invalidate stale same-browser shell state and in-flight/cached reads.</t>
        </is>
      </c>
      <c r="G25" s="2" t="inlineStr">
        <is>
          <t>No generation-bound cache invalidation mechanism exists.</t>
        </is>
      </c>
      <c r="H25" s="2" t="inlineStr">
        <is>
          <t>Stale shell/read state is not explicitly invalidated by the frozen mechanism.</t>
        </is>
      </c>
      <c r="I25" s="2" t="inlineStr">
        <is>
          <t>Use modeGeneration as part of cache/read validity and clear/revalidate protected shell state on generation change.</t>
        </is>
      </c>
      <c r="J25" s="2" t="inlineStr">
        <is>
          <t>Tests prove old generation data is rejected or re-fetched after transition.</t>
        </is>
      </c>
      <c r="K25" s="2" t="inlineStr">
        <is>
          <t>Closed</t>
        </is>
      </c>
      <c r="L25" s="2" t="n"/>
      <c r="M25" s="2" t="inlineStr">
        <is>
          <t>src/lib/parent-shell/service.ts; relevant client cache/read layer</t>
        </is>
      </c>
      <c r="N25" s="2" t="inlineStr">
        <is>
          <t>Implemented + automated tests added 2026-08-13 (see README PD-002/003/004 gap remediation section). Awaiting independent re-audit before Closed. | Independently re-audited 2026-08-15: code, wiring and tests verified directly against the frozen expectation (not just re-reading prior notes). Full suite 1587/1587 passing, tsc clean. Closed.</t>
        </is>
      </c>
    </row>
    <row r="26" ht="69" customHeight="1">
      <c r="A26" s="2" t="inlineStr">
        <is>
          <t>PD-004</t>
        </is>
      </c>
      <c r="B26" s="2" t="inlineStr">
        <is>
          <t>PD4-G07</t>
        </is>
      </c>
      <c r="C26" s="2" t="inlineStr">
        <is>
          <t>Multi-tab Security</t>
        </is>
      </c>
      <c r="D26" s="2" t="inlineStr">
        <is>
          <t>High</t>
        </is>
      </c>
      <c r="E26" s="2" t="inlineStr">
        <is>
          <t>P1</t>
        </is>
      </c>
      <c r="F26" s="2" t="inlineStr">
        <is>
          <t>Other tabs holding an older modeGeneration become stale after mode transition.</t>
        </is>
      </c>
      <c r="G26" s="2" t="inlineStr">
        <is>
          <t>No generation comparison/cross-tab invalidation mechanism is implemented.</t>
        </is>
      </c>
      <c r="H26" s="2" t="inlineStr">
        <is>
          <t>Multi-tab stale-mode requirement is unfulfilled.</t>
        </is>
      </c>
      <c r="I26" s="2" t="inlineStr">
        <is>
          <t>Revalidate generation on focus/pageshow/request and optionally use a safe cross-tab signal only as an optimization.</t>
        </is>
      </c>
      <c r="J26" s="2" t="inlineStr">
        <is>
          <t>Two-tab regression test proves the stale tab fails closed on next interaction/focus.</t>
        </is>
      </c>
      <c r="K26" s="2" t="inlineStr">
        <is>
          <t>Closed</t>
        </is>
      </c>
      <c r="L26" s="2" t="n"/>
      <c r="M26" s="2" t="inlineStr">
        <is>
          <t>mode/session client guard to be added</t>
        </is>
      </c>
      <c r="N26" s="2" t="inlineStr">
        <is>
          <t>Implemented + automated tests added 2026-08-13 (see README PD-002/003/004 gap remediation section). Awaiting independent re-audit before Closed. | Independently re-audited 2026-08-15: code, wiring and tests verified directly against the frozen expectation (not just re-reading prior notes). Full suite 1587/1587 passing, tsc clean. Closed.</t>
        </is>
      </c>
    </row>
    <row r="27" ht="69" customHeight="1">
      <c r="A27" s="2" t="inlineStr">
        <is>
          <t>PD-004</t>
        </is>
      </c>
      <c r="B27" s="2" t="inlineStr">
        <is>
          <t>PD4-G08</t>
        </is>
      </c>
      <c r="C27" s="2" t="inlineStr">
        <is>
          <t>Reliability</t>
        </is>
      </c>
      <c r="D27" s="2" t="inlineStr">
        <is>
          <t>Medium</t>
        </is>
      </c>
      <c r="E27" s="2" t="inlineStr">
        <is>
          <t>P2</t>
        </is>
      </c>
      <c r="F27" s="2" t="inlineStr">
        <is>
          <t>Attention-summary failure must degrade without failing the parent shell.</t>
        </is>
      </c>
      <c r="G27" s="2" t="inlineStr">
        <is>
          <t>Account layout catches attention composition failure, but API-PD-006 composer itself directly calls the badge composer.</t>
        </is>
      </c>
      <c r="H27" s="2" t="inlineStr">
        <is>
          <t>Shell API does not independently guarantee graceful degradation.</t>
        </is>
      </c>
      <c r="I27" s="2" t="inlineStr">
        <is>
          <t>Make attentionSummary optional inside API-PD-006 and isolate its failure from core shell/nav/mode context.</t>
        </is>
      </c>
      <c r="J27" s="2" t="inlineStr">
        <is>
          <t>Injected attention failure still returns valid shellVersion/modeGeneration/navItems with attentionSummary omitted.</t>
        </is>
      </c>
      <c r="K27" s="2" t="inlineStr">
        <is>
          <t>Closed</t>
        </is>
      </c>
      <c r="L27" s="2" t="n"/>
      <c r="M27" s="2" t="inlineStr">
        <is>
          <t>src/lib/parent-shell/service.ts; src/app/account/layout.tsx</t>
        </is>
      </c>
      <c r="N27" s="2" t="inlineStr">
        <is>
          <t>Implemented + automated tests added 2026-08-13 (see README PD-002/003/004 gap remediation section). Awaiting independent re-audit before Closed. | Independently re-audited 2026-08-15: code, wiring and tests verified directly against the frozen expectation (not just re-reading prior notes). Full suite 1587/1587 passing, tsc clean. Closed.</t>
        </is>
      </c>
    </row>
    <row r="28" ht="69" customHeight="1">
      <c r="A28" s="2" t="inlineStr">
        <is>
          <t>PD-004</t>
        </is>
      </c>
      <c r="B28" s="2" t="inlineStr">
        <is>
          <t>PD4-G09</t>
        </is>
      </c>
      <c r="C28" s="2" t="inlineStr">
        <is>
          <t>Testing</t>
        </is>
      </c>
      <c r="D28" s="2" t="inlineStr">
        <is>
          <t>High</t>
        </is>
      </c>
      <c r="E28" s="2" t="inlineStr">
        <is>
          <t>P1</t>
        </is>
      </c>
      <c r="F28" s="2" t="inlineStr">
        <is>
          <t>Frozen browser-security regression suite covers Back/Forward, bfcache, stale mode and transition invalidation.</t>
        </is>
      </c>
      <c r="G28" s="2" t="inlineStr">
        <is>
          <t>Current PD-004 tests cover nav rendering, shell composition and routes, but not the full generation/history boundary.</t>
        </is>
      </c>
      <c r="H28" s="2" t="inlineStr">
        <is>
          <t>Security-critical browser regression coverage is missing.</t>
        </is>
      </c>
      <c r="I28" s="2" t="inlineStr">
        <is>
          <t>Add integration/browser tests for generation transitions, bfcache, Back/Forward and multi-tab stale mode.</t>
        </is>
      </c>
      <c r="J28" s="2" t="inlineStr">
        <is>
          <t>All frozen browser-history/security cases pass in CI.</t>
        </is>
      </c>
      <c r="K28" s="2" t="inlineStr">
        <is>
          <t>Closed</t>
        </is>
      </c>
      <c r="L28" s="2" t="n"/>
      <c r="M28" s="2" t="inlineStr">
        <is>
          <t>tests/pd-004-shell.test.ts; tests/pd-004-nav-ui.test.tsx; new browser tests</t>
        </is>
      </c>
      <c r="N28" s="2" t="inlineStr">
        <is>
          <t>Implemented + automated tests added 2026-08-13 (see README PD-002/003/004 gap remediation section). Awaiting independent re-audit before Closed. | Independently re-audited 2026-08-15: code, wiring and tests verified directly against the frozen expectation (not just re-reading prior notes). Full suite 1587/1587 passing, tsc clean. Closed.</t>
        </is>
      </c>
    </row>
    <row r="29" ht="69" customHeight="1">
      <c r="A29" s="2" t="inlineStr">
        <is>
          <t>PD-004</t>
        </is>
      </c>
      <c r="B29" s="2" t="inlineStr">
        <is>
          <t>PD4-G10</t>
        </is>
      </c>
      <c r="C29" s="2" t="inlineStr">
        <is>
          <t>Traceability</t>
        </is>
      </c>
      <c r="D29" s="2" t="inlineStr">
        <is>
          <t>Medium</t>
        </is>
      </c>
      <c r="E29" s="2" t="inlineStr">
        <is>
          <t>P2</t>
        </is>
      </c>
      <c r="F29" s="2" t="inlineStr">
        <is>
          <t>Frozen AT-PD-004-01 through AT-PD-004-48 are traceable to executable tests.</t>
        </is>
      </c>
      <c r="G29" s="2" t="inlineStr">
        <is>
          <t>Existing PD-004 tests are not explicitly mapped to frozen AT IDs.</t>
        </is>
      </c>
      <c r="H29" s="2" t="inlineStr">
        <is>
          <t>Acceptance traceability remains incomplete.</t>
        </is>
      </c>
      <c r="I29" s="2" t="inlineStr">
        <is>
          <t>Map current tests to AT IDs and implement all uncovered cases.</t>
        </is>
      </c>
      <c r="J29" s="2" t="inlineStr">
        <is>
          <t>All 48 frozen cases have traceable passing coverage.</t>
        </is>
      </c>
      <c r="K29" s="2" t="inlineStr">
        <is>
          <t>Closed</t>
        </is>
      </c>
      <c r="L29" s="2" t="n"/>
      <c r="M29" s="2" t="inlineStr">
        <is>
          <t>tests/pd-004-shell.test.ts; tests/pd-004-shell-context-route.test.ts; tests/pd-004-nav-ui.test.tsx</t>
        </is>
      </c>
      <c r="N29" s="2" t="inlineStr">
        <is>
          <t>Implemented + automated tests added 2026-08-13 (see README PD-002/003/004 gap remediation section). Awaiting independent re-audit before Closed. | Independently re-audited 2026-08-15: code, wiring and tests verified directly against the frozen expectation (not just re-reading prior notes). Full suite 1587/1587 passing, tsc clean. Closed.</t>
        </is>
      </c>
    </row>
  </sheetData>
  <conditionalFormatting sqref="D2:D29">
    <cfRule type="expression" priority="1" dxfId="7">
      <formula>D2="Critical"</formula>
    </cfRule>
    <cfRule type="expression" priority="2" dxfId="6">
      <formula>D2="High"</formula>
    </cfRule>
    <cfRule type="expression" priority="3" dxfId="5">
      <formula>D2="Medium"</formula>
    </cfRule>
    <cfRule type="expression" priority="4" dxfId="4">
      <formula>D2="Low"</formula>
    </cfRule>
  </conditionalFormatting>
  <conditionalFormatting sqref="K2:K29">
    <cfRule type="expression" priority="5" dxfId="3">
      <formula>K2="Closed"</formula>
    </cfRule>
    <cfRule type="expression" priority="6" dxfId="2">
      <formula>K2="In Progress"</formula>
    </cfRule>
    <cfRule type="expression" priority="7" dxfId="1">
      <formula>K2="Blocked"</formula>
    </cfRule>
    <cfRule type="expression" priority="8" dxfId="0">
      <formula>K2="Ready for Validation"</formula>
    </cfRule>
  </conditionalFormatting>
  <dataValidations count="2">
    <dataValidation sqref="K2:K29" showDropDown="0" showInputMessage="0" showErrorMessage="0" allowBlank="0" type="list">
      <formula1>"Open,In Progress,Blocked,Ready for Validation,Closed"</formula1>
    </dataValidation>
    <dataValidation sqref="L2:L29" showDropDown="0" showInputMessage="0" showErrorMessage="0" allowBlank="0" type="list">
      <formula1>",Platform,API,Frontend,Security,QA,Architecture"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3.8"/>
  <cols>
    <col width="22" customWidth="1" min="1" max="4"/>
  </cols>
  <sheetData>
    <row r="1">
      <c r="A1" s="3" t="inlineStr">
        <is>
          <t>Status</t>
        </is>
      </c>
      <c r="B1" s="3" t="inlineStr">
        <is>
          <t>Severity</t>
        </is>
      </c>
      <c r="D1" s="3" t="inlineStr">
        <is>
          <t>Priority</t>
        </is>
      </c>
    </row>
    <row r="2">
      <c r="A2" t="inlineStr">
        <is>
          <t>Open</t>
        </is>
      </c>
      <c r="B2" t="inlineStr">
        <is>
          <t>Critical</t>
        </is>
      </c>
      <c r="D2" t="inlineStr">
        <is>
          <t>P0</t>
        </is>
      </c>
    </row>
    <row r="3">
      <c r="A3" t="inlineStr">
        <is>
          <t>In Progress</t>
        </is>
      </c>
      <c r="B3" t="inlineStr">
        <is>
          <t>High</t>
        </is>
      </c>
      <c r="D3" t="inlineStr">
        <is>
          <t>P1</t>
        </is>
      </c>
    </row>
    <row r="4">
      <c r="A4" t="inlineStr">
        <is>
          <t>Blocked</t>
        </is>
      </c>
      <c r="B4" t="inlineStr">
        <is>
          <t>Medium</t>
        </is>
      </c>
      <c r="D4" t="inlineStr">
        <is>
          <t>P2</t>
        </is>
      </c>
    </row>
    <row r="5">
      <c r="A5" t="inlineStr">
        <is>
          <t>Ready for Validation</t>
        </is>
      </c>
      <c r="B5" t="inlineStr">
        <is>
          <t>Low</t>
        </is>
      </c>
      <c r="D5" t="inlineStr">
        <is>
          <t>P3</t>
        </is>
      </c>
    </row>
    <row r="6">
      <c r="A6" t="inlineStr">
        <is>
          <t>Closed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2026-08-15T05:57:34Z</dcterms:created>
  <dcterms:modified xmlns:dcterms="http://purl.org/dc/terms/" xmlns:xsi="http://www.w3.org/2001/XMLSchema-instance" xsi:type="dcterms:W3CDTF">2026-08-15T05:58:29Z</dcterms:modified>
  <cp:lastModifiedBy>Sridhar Voleti</cp:lastModifiedBy>
</cp:coreProperties>
</file>