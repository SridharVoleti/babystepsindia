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ridhar\Projects\BabyStepsIndia\Requirements\"/>
    </mc:Choice>
  </mc:AlternateContent>
  <xr:revisionPtr revIDLastSave="0" documentId="13_ncr:1_{C6B95AE4-C3DA-4037-BC0D-853A280FEC03}" xr6:coauthVersionLast="47" xr6:coauthVersionMax="47" xr10:uidLastSave="{00000000-0000-0000-0000-000000000000}"/>
  <bookViews>
    <workbookView xWindow="-108" yWindow="-108" windowWidth="21336" windowHeight="11376" xr2:uid="{00000000-000D-0000-FFFF-FFFF00000000}"/>
  </bookViews>
  <sheets>
    <sheet name="Executive Summary" sheetId="1" r:id="rId1"/>
    <sheet name="Requirement Match" sheetId="2" r:id="rId2"/>
    <sheet name="Gap Register" sheetId="3" r:id="rId3"/>
    <sheet name="Scoring &amp; Sco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2" l="1"/>
  <c r="G21" i="2"/>
  <c r="H21" i="2" s="1"/>
  <c r="C32" i="1" s="1"/>
  <c r="L20" i="2"/>
  <c r="H20" i="2"/>
  <c r="G20" i="2"/>
  <c r="L19" i="2"/>
  <c r="H19" i="2"/>
  <c r="C30" i="1" s="1"/>
  <c r="G19" i="2"/>
  <c r="L18" i="2"/>
  <c r="G18" i="2"/>
  <c r="H18" i="2" s="1"/>
  <c r="C29" i="1" s="1"/>
  <c r="L17" i="2"/>
  <c r="H17" i="2"/>
  <c r="G17" i="2"/>
  <c r="L16" i="2"/>
  <c r="H16" i="2"/>
  <c r="G16" i="2"/>
  <c r="L15" i="2"/>
  <c r="H15" i="2"/>
  <c r="G15" i="2"/>
  <c r="L14" i="2"/>
  <c r="G14" i="2"/>
  <c r="H14" i="2" s="1"/>
  <c r="C25" i="1" s="1"/>
  <c r="L13" i="2"/>
  <c r="H13" i="2"/>
  <c r="G13" i="2"/>
  <c r="L12" i="2"/>
  <c r="H12" i="2"/>
  <c r="G12" i="2"/>
  <c r="L11" i="2"/>
  <c r="H11" i="2"/>
  <c r="G11" i="2"/>
  <c r="L10" i="2"/>
  <c r="G10" i="2"/>
  <c r="H10" i="2" s="1"/>
  <c r="C21" i="1" s="1"/>
  <c r="L9" i="2"/>
  <c r="H9" i="2"/>
  <c r="G9" i="2"/>
  <c r="L8" i="2"/>
  <c r="H8" i="2"/>
  <c r="G8" i="2"/>
  <c r="L7" i="2"/>
  <c r="H7" i="2"/>
  <c r="G7" i="2"/>
  <c r="L6" i="2"/>
  <c r="G6" i="2"/>
  <c r="H6" i="2" s="1"/>
  <c r="C17" i="1" s="1"/>
  <c r="L5" i="2"/>
  <c r="H5" i="2"/>
  <c r="G5" i="2"/>
  <c r="L4" i="2"/>
  <c r="H4" i="2"/>
  <c r="G4" i="2"/>
  <c r="L3" i="2"/>
  <c r="H3" i="2"/>
  <c r="G3" i="2"/>
  <c r="L2" i="2"/>
  <c r="G2" i="2"/>
  <c r="H2" i="2" s="1"/>
  <c r="F32" i="1"/>
  <c r="F31" i="1"/>
  <c r="C31" i="1"/>
  <c r="F30" i="1"/>
  <c r="F29" i="1"/>
  <c r="F28" i="1"/>
  <c r="C28" i="1"/>
  <c r="F27" i="1"/>
  <c r="C27" i="1"/>
  <c r="F26" i="1"/>
  <c r="C26" i="1"/>
  <c r="F25" i="1"/>
  <c r="F24" i="1"/>
  <c r="C24" i="1"/>
  <c r="F23" i="1"/>
  <c r="C23" i="1"/>
  <c r="F22" i="1"/>
  <c r="C22" i="1"/>
  <c r="F21" i="1"/>
  <c r="F20" i="1"/>
  <c r="C20" i="1"/>
  <c r="F19" i="1"/>
  <c r="C19" i="1"/>
  <c r="F18" i="1"/>
  <c r="C18" i="1"/>
  <c r="F17" i="1"/>
  <c r="F16" i="1"/>
  <c r="C16" i="1"/>
  <c r="F15" i="1"/>
  <c r="C15" i="1"/>
  <c r="F14" i="1"/>
  <c r="C14" i="1"/>
  <c r="F13" i="1"/>
  <c r="B7" i="1"/>
  <c r="B9" i="1" l="1"/>
  <c r="B8" i="1"/>
  <c r="C13" i="1"/>
</calcChain>
</file>

<file path=xl/sharedStrings.xml><?xml version="1.0" encoding="utf-8"?>
<sst xmlns="http://schemas.openxmlformats.org/spreadsheetml/2006/main" count="1593" uniqueCount="921">
  <si>
    <t>Babysteps v45 — Implemented Requirements Gap Audit</t>
  </si>
  <si>
    <t>Metric</t>
  </si>
  <si>
    <t>Value</t>
  </si>
  <si>
    <t>Audit basis</t>
  </si>
  <si>
    <t>Repository</t>
  </si>
  <si>
    <t>Branch</t>
  </si>
  <si>
    <t>HEAD</t>
  </si>
  <si>
    <t>Requirements</t>
  </si>
  <si>
    <t>Audit type</t>
  </si>
  <si>
    <t>Date</t>
  </si>
  <si>
    <t>Requirements audited</t>
  </si>
  <si>
    <t>Static code-to-frozen-contract comparison</t>
  </si>
  <si>
    <t>SridharVoleti/babystepsindia</t>
  </si>
  <si>
    <t>master</t>
  </si>
  <si>
    <t>517e3cf3ef141908679742ef2abb60dd93b32400</t>
  </si>
  <si>
    <t>Babysteps_Platform_Requirements_v45.xlsx</t>
  </si>
  <si>
    <t>Behavior + architecture + integration gaps</t>
  </si>
  <si>
    <t>2026-08-08</t>
  </si>
  <si>
    <t>Distinct gaps identified</t>
  </si>
  <si>
    <t>Critical gaps</t>
  </si>
  <si>
    <t>Requirements below 70%</t>
  </si>
  <si>
    <t>Weighted match</t>
  </si>
  <si>
    <t>Requirement</t>
  </si>
  <si>
    <t>Title</t>
  </si>
  <si>
    <t>Match %</t>
  </si>
  <si>
    <t>Stage</t>
  </si>
  <si>
    <t>Confidence</t>
  </si>
  <si>
    <t>Open gaps</t>
  </si>
  <si>
    <t>IA-001</t>
  </si>
  <si>
    <t>Parent Registration &amp; Login</t>
  </si>
  <si>
    <t>Substantial</t>
  </si>
  <si>
    <t>High</t>
  </si>
  <si>
    <t>IA-002</t>
  </si>
  <si>
    <t>Parent Profile Onboarding</t>
  </si>
  <si>
    <t>IA-003</t>
  </si>
  <si>
    <t>Account Security &amp; Lifecycle</t>
  </si>
  <si>
    <t>LP-001</t>
  </si>
  <si>
    <t>Learner Profile Creation</t>
  </si>
  <si>
    <t>LP-002</t>
  </si>
  <si>
    <t>Learner Profile Correction</t>
  </si>
  <si>
    <t>LP-004</t>
  </si>
  <si>
    <t>Learner Selection &amp; Active Session Control</t>
  </si>
  <si>
    <t>Substantial / Regressed</t>
  </si>
  <si>
    <t>AR-001</t>
  </si>
  <si>
    <t>Canonical App Registry</t>
  </si>
  <si>
    <t>AN-001</t>
  </si>
  <si>
    <t>Minimal-Data Daily Analytics</t>
  </si>
  <si>
    <t>AR-002</t>
  </si>
  <si>
    <t>Automated App Deployment &amp; Release Safety</t>
  </si>
  <si>
    <t>Partial</t>
  </si>
  <si>
    <t>Medium</t>
  </si>
  <si>
    <t>LA-001</t>
  </si>
  <si>
    <t>Secure Cross-Domain App Launch</t>
  </si>
  <si>
    <t>Substantial / Partial Integration</t>
  </si>
  <si>
    <t>Medium-High</t>
  </si>
  <si>
    <t>LA-002</t>
  </si>
  <si>
    <t>Session-Bound API Authorization</t>
  </si>
  <si>
    <t>Substantial / Contract Gap</t>
  </si>
  <si>
    <t>LA-003</t>
  </si>
  <si>
    <t>Compact Progress Persistence</t>
  </si>
  <si>
    <t>Substantial / Partial Amendments</t>
  </si>
  <si>
    <t>LA-004</t>
  </si>
  <si>
    <t>Session Completion &amp; Technical Credit</t>
  </si>
  <si>
    <t>AU-001</t>
  </si>
  <si>
    <t>Central Authorization Policy</t>
  </si>
  <si>
    <t>AU-002</t>
  </si>
  <si>
    <t>Parent/Learner Authorization Modes</t>
  </si>
  <si>
    <t>SC-001</t>
  </si>
  <si>
    <t>Browser-Local Session Runtime</t>
  </si>
  <si>
    <t>SC-002</t>
  </si>
  <si>
    <t>Standard Session Credits &amp; Weekly Pacing</t>
  </si>
  <si>
    <t>Substantial / Source Gap</t>
  </si>
  <si>
    <t>SC-003</t>
  </si>
  <si>
    <t>Atomic Session Start &amp; Usable Launch</t>
  </si>
  <si>
    <t>EN-001</t>
  </si>
  <si>
    <t>Paid Cycle → Entitlement Materialization</t>
  </si>
  <si>
    <t>EN-002</t>
  </si>
  <si>
    <t>Effective App Access &amp; Overlap Control</t>
  </si>
  <si>
    <t>Requirement ID</t>
  </si>
  <si>
    <t>Requirement Title</t>
  </si>
  <si>
    <t>Acceptance Criteria / Tests</t>
  </si>
  <si>
    <t>Full Match</t>
  </si>
  <si>
    <t>Partial Match</t>
  </si>
  <si>
    <t>Missing / Contradicted</t>
  </si>
  <si>
    <t>Weighted Points</t>
  </si>
  <si>
    <t>Implementation Stage</t>
  </si>
  <si>
    <t>Key Gap Summary</t>
  </si>
  <si>
    <t>Gap Count</t>
  </si>
  <si>
    <t>Core behavior works locally; production Supabase Auth/email delivery/shared rate-limit contract is not active.</t>
  </si>
  <si>
    <t>Strong local match; remaining deductions are production Supabase/RLS and real invoice-delivery integration.</t>
  </si>
  <si>
    <t>Raw email-change token is stored locally; Supabase email-change configuration and full session revocation are incomplete.</t>
  </si>
  <si>
    <t>Core profile rules are strong; passkey-dependent paths, production RLS and billing integration are not end-to-end.</t>
  </si>
  <si>
    <t>Core update/version/idempotency behavior is strong; commercial/session integration is not production-complete.</t>
  </si>
  <si>
    <t>Latest v45 removes repeated-interruption auto-completion, but code still supports it; browser-runtime/passkey gaps remain.</t>
  </si>
  <si>
    <t>Registry lifecycle is strong; production Supabase/RLS and billing-side remediation integration remain.</t>
  </si>
  <si>
    <t>Analytics design is strong; production scheduler/service identity and runtime-store deployment are incomplete.</t>
  </si>
  <si>
    <t>Deployment primitives exist, but provider discovery, CI provenance, immutable promotion, compatibility and rollback automation are incomplete.</t>
  </si>
  <si>
    <t>Launch flow exists; machine identity is shared-secret based and SC-003 provisional launch + full cross-domain production integration are incomplete.</t>
  </si>
  <si>
    <t>Short-lived EdDSA access token is strong, but starting sessions incorrectly receive an active broad-scope grant instead of provisional usable-launch-only grant.</t>
  </si>
  <si>
    <t>Core current-row/versioned progress is present; newer progress migration/recovery/summary amendments are not fully implemented.</t>
  </si>
  <si>
    <t>Completion/credit mechanics are substantial; repeated-interruption behavior and newer local-progress integration diverge from v45.</t>
  </si>
  <si>
    <t>Canonical action/policy layer exists; machine identity, distributed runtime and deployment-provider authorization remain incomplete.</t>
  </si>
  <si>
    <t>Mode isolation/context code exists, but no WebAuthn passkey implementation proves learner unlock; caller supplies a boolean passkeyVerified.</t>
  </si>
  <si>
    <t>Central server contracts exist, but the required IndexedDB/Web Locks/BroadcastChannel learning-app runtime is not implemented here; old interruption rule remains.</t>
  </si>
  <si>
    <t>Credit batches/pacing exist; allocation source is not a verified billing event and rollover expiry can drift across short months.</t>
  </si>
  <si>
    <t>Reservation/start flow exists, but provisional LA-002 grant, real browser runtime-ready handshake, AU-004 identity and PR migration gate are incomplete.</t>
  </si>
  <si>
    <t>Service explicitly accepts caller-supplied paid-cycle/app snapshot because billing producer/catalog do not exist; grace/cancellation overlays are omitted.</t>
  </si>
  <si>
    <t>Period overlap/effective state exists; checkout/payment lifecycle, grace/cancellation and resume-across-paid-end behavior do not match v45.</t>
  </si>
  <si>
    <t>Gap ID</t>
  </si>
  <si>
    <t>Severity</t>
  </si>
  <si>
    <t>Category</t>
  </si>
  <si>
    <t>Acceptance / Rule</t>
  </si>
  <si>
    <t>Gap Description</t>
  </si>
  <si>
    <t>Evidence / Reason</t>
  </si>
  <si>
    <t>Recommended Fix</t>
  </si>
  <si>
    <t>Code Evidence URL</t>
  </si>
  <si>
    <t>Requirements Source</t>
  </si>
  <si>
    <t>Status</t>
  </si>
  <si>
    <t>GAP-001</t>
  </si>
  <si>
    <t>Production runtime</t>
  </si>
  <si>
    <t>AC1-AC7 / runtime contract</t>
  </si>
  <si>
    <t>Production identity path is not Supabase Auth.</t>
  </si>
  <si>
    <t>README states current runtime is local SQLite + built-in session auth; Supabase helpers/migrations are dormant.</t>
  </si>
  <si>
    <t>Implement and activate SupabaseAuthAdapter in production, preserving stable parent IDs and current adapter contract.</t>
  </si>
  <si>
    <t>https://github.com/SridharVoleti/babystepsindia/blob/master/README.md</t>
  </si>
  <si>
    <t>GAP-002</t>
  </si>
  <si>
    <t>Email delivery</t>
  </si>
  <si>
    <t>AC3, AC7</t>
  </si>
  <si>
    <t>Verification/reset delivery is a development URL rather than configured production email delivery.</t>
  </si>
  <si>
    <t>Server actions return verificationUrl/resetUrl for local development.</t>
  </si>
  <si>
    <t>Wire Supabase/custom SMTP templates and callbacks; never expose verification/reset links in production UI responses.</t>
  </si>
  <si>
    <t>https://github.com/SridharVoleti/babystepsindia/blob/master/src/app/(auth)/actions.ts</t>
  </si>
  <si>
    <t>GAP-003</t>
  </si>
  <si>
    <t>Rate limiting</t>
  </si>
  <si>
    <t>Security/NFR</t>
  </si>
  <si>
    <t>Rate limiter is process-local and will not enforce limits consistently across multiple Vercel instances.</t>
  </si>
  <si>
    <t>README describes in-memory fixed-window rate limiting as single-process only.</t>
  </si>
  <si>
    <t>Move auth rate limits to a shared durable store or provider-native rate limiter before scale-out.</t>
  </si>
  <si>
    <t>GAP-004</t>
  </si>
  <si>
    <t>Production verification</t>
  </si>
  <si>
    <t>AC3-AC9</t>
  </si>
  <si>
    <t>Production Supabase session/email-verification behavior is not exercised end-to-end.</t>
  </si>
  <si>
    <t>Current tests primarily validate the SQLite adapter and local cookie flow.</t>
  </si>
  <si>
    <t>Add Supabase integration/E2E tests for signup, verify, reset, suspended/deleted gating and recovery upsert.</t>
  </si>
  <si>
    <t>GAP-005</t>
  </si>
  <si>
    <t>AC1-AC14</t>
  </si>
  <si>
    <t>Parent onboarding runs on the local SQLite/auth stack rather than the frozen Supabase production stack.</t>
  </si>
  <si>
    <t>README marks Supabase production path dormant.</t>
  </si>
  <si>
    <t>Port transactional profile+consent update to Supabase/Postgres and validate RLS/authorization.</t>
  </si>
  <si>
    <t>GAP-006</t>
  </si>
  <si>
    <t>Low</t>
  </si>
  <si>
    <t>Billing integration</t>
  </si>
  <si>
    <t>AC11-AC12</t>
  </si>
  <si>
    <t>Invoice recipient/delivery behavior is implemented as local metadata utility, not proven against a real billing/invoice provider.</t>
  </si>
  <si>
    <t>Identity code can compute labels, but BI billing requirements/providers are not implemented.</t>
  </si>
  <si>
    <t>Integrate the label/email contract with the billing/invoice producer and add contract tests.</t>
  </si>
  <si>
    <t>GAP-007</t>
  </si>
  <si>
    <t>Authorization/RLS</t>
  </si>
  <si>
    <t>Security</t>
  </si>
  <si>
    <t>Production row-level protection of phone/profile data is not demonstrated.</t>
  </si>
  <si>
    <t>Current runtime relies on application guards over SQLite.</t>
  </si>
  <si>
    <t>Implement Supabase RLS policies and integration tests for parent/support/admin read boundaries.</t>
  </si>
  <si>
    <t>GAP-008</t>
  </si>
  <si>
    <t>Critical</t>
  </si>
  <si>
    <t>Credential security</t>
  </si>
  <si>
    <t>AC15</t>
  </si>
  <si>
    <t>Email-change verification token is stored raw in a platform table.</t>
  </si>
  <si>
    <t>requestEmailChange inserts token directly into email_change_requests; resend also replaces the raw token.</t>
  </si>
  <si>
    <t>Use provider-managed token/nonce or store only a one-way hash; never persist the raw verification token.</t>
  </si>
  <si>
    <t>https://github.com/SridharVoleti/babystepsindia/blob/master/src/lib/db/account-security-repo.ts</t>
  </si>
  <si>
    <t>GAP-009</t>
  </si>
  <si>
    <t>Supabase configuration</t>
  </si>
  <si>
    <t>AC4-AC8</t>
  </si>
  <si>
    <t>Secure Email Change / 86,400-second Supabase email-link expiry is not configured in the active runtime.</t>
  </si>
  <si>
    <t>Code comment explicitly says equivalent Supabase Auth project setting still needs configuring.</t>
  </si>
  <si>
    <t>Configure Supabase Auth exactly as frozen and add deployment/configuration assertions.</t>
  </si>
  <si>
    <t>GAP-010</t>
  </si>
  <si>
    <t>Session revocation</t>
  </si>
  <si>
    <t>AC11</t>
  </si>
  <si>
    <t>Soft delete does not explicitly atomically revoke every learner session and app grant in the shown transaction.</t>
  </si>
  <si>
    <t>softDeleteAccount updates profile and learner unlock contexts; no direct learner_sessions/app_session_grants revocation appears in that transaction.</t>
  </si>
  <si>
    <t>Add authoritative transactional revocation of parent sessions, learner sessions, launch state and app grants.</t>
  </si>
  <si>
    <t>GAP-011</t>
  </si>
  <si>
    <t>Privacy logging</t>
  </si>
  <si>
    <t>Security / AC15</t>
  </si>
  <si>
    <t>Email-change account-event metadata stores old/new email values.</t>
  </si>
  <si>
    <t>finalizeEmailChange records oldEmail/newEmail in account_events metadata.</t>
  </si>
  <si>
    <t>Store minimized identifiers/change type only; mask or omit raw email values from routine audit/log payloads.</t>
  </si>
  <si>
    <t>GAP-012</t>
  </si>
  <si>
    <t>Provider callback hardening</t>
  </si>
  <si>
    <t>AC4-AC8, AC14</t>
  </si>
  <si>
    <t>Local token callback does not prove the full Supabase email_change token type/origin contract.</t>
  </si>
  <si>
    <t>Current implementation uses a locally generated token and local user-email mutation.</t>
  </si>
  <si>
    <t>Use Supabase callback verification, token type/origin checks and reconciliation tests in production.</t>
  </si>
  <si>
    <t>GAP-013</t>
  </si>
  <si>
    <t>Production data security</t>
  </si>
  <si>
    <t>Security / isolation</t>
  </si>
  <si>
    <t>Learner creation/isolation is not validated under production Supabase RLS.</t>
  </si>
  <si>
    <t>Current learner repo/tests run against SQLite.</t>
  </si>
  <si>
    <t>Implement learner RLS policies and multi-parent integration tests on Supabase.</t>
  </si>
  <si>
    <t>https://github.com/SridharVoleti/babystepsindia/blob/master/tests/learner-profile.test.ts</t>
  </si>
  <si>
    <t>GAP-014</t>
  </si>
  <si>
    <t>Passkey dependency</t>
  </si>
  <si>
    <t>AT-LP-001-22 / IA-004 dependency</t>
  </si>
  <si>
    <t>Passkey-dependent learner-lock path cannot be fully satisfied because IA-004 WebAuthn is not implemented.</t>
  </si>
  <si>
    <t>Authorization mode tables exist but no WebAuthn credential/challenge verification implementation was found.</t>
  </si>
  <si>
    <t>Implement IA-004 before certifying learner app/passkey locking acceptance tests.</t>
  </si>
  <si>
    <t>https://github.com/SridharVoleti/babystepsindia/blob/master/src/lib/authorization/modes.ts</t>
  </si>
  <si>
    <t>GAP-015</t>
  </si>
  <si>
    <t>Commercial integration</t>
  </si>
  <si>
    <t>Integration</t>
  </si>
  <si>
    <t>No-subscription/no-app-state-on-create behavior is only proven against local placeholder commercial tables.</t>
  </si>
  <si>
    <t>Billing requirements/providers are absent from the repository implementation.</t>
  </si>
  <si>
    <t>Add integration tests against the eventual BI/EN production services to prove learner creation has no commercial side effects.</t>
  </si>
  <si>
    <t>GAP-016</t>
  </si>
  <si>
    <t>AT-LP-002-22/23</t>
  </si>
  <si>
    <t>GET/PATCH isolation is not proven with Supabase RLS.</t>
  </si>
  <si>
    <t>Route is guarded in application code; production database policy path is dormant.</t>
  </si>
  <si>
    <t>Add RLS and API integration tests against Supabase.</t>
  </si>
  <si>
    <t>https://github.com/SridharVoleti/babystepsindia/blob/master/src/app/v1/learners/[learnerId]/route.ts</t>
  </si>
  <si>
    <t>GAP-017</t>
  </si>
  <si>
    <t>AT-LP-002-09</t>
  </si>
  <si>
    <t>Commercial-state preservation is not end-to-end against implemented billing/subscription lifecycle.</t>
  </si>
  <si>
    <t>BI-001..BI-005 are absent; current tests can only preserve local placeholder rows.</t>
  </si>
  <si>
    <t>Re-run correction regression suite after billing is implemented, asserting immutable subscription/entitlement rows.</t>
  </si>
  <si>
    <t>GAP-018</t>
  </si>
  <si>
    <t>Session integration</t>
  </si>
  <si>
    <t>AT-LP-002-07/10</t>
  </si>
  <si>
    <t>DOB-next-session snapshot and weekly-use preservation depend on session flows that still have v45 mismatches.</t>
  </si>
  <si>
    <t>LP-004/SC-003 are not fully aligned with v45.</t>
  </si>
  <si>
    <t>Add cross-requirement integration tests once session start/runtime gaps are fixed.</t>
  </si>
  <si>
    <t>GAP-019</t>
  </si>
  <si>
    <t>Requirement regression</t>
  </si>
  <si>
    <t>AT-LP-004-37</t>
  </si>
  <si>
    <t>Code still supports automatic completion after repeated interruption, but v45 requires that rule to be absent.</t>
  </si>
  <si>
    <t>finalizeSessionAutomatically accepts repeated_interruption_after_threshold.</t>
  </si>
  <si>
    <t>Remove repeated-interruption auto-completion; hard expiry should be the recovery boundary.</t>
  </si>
  <si>
    <t>https://github.com/SridharVoleti/babystepsindia/blob/master/src/lib/session-finalization/service.ts</t>
  </si>
  <si>
    <t>GAP-020</t>
  </si>
  <si>
    <t>Browser runtime</t>
  </si>
  <si>
    <t>AT-LP-004-36</t>
  </si>
  <si>
    <t>Required one-owner-tab browser runtime control is not implemented in the central repository.</t>
  </si>
  <si>
    <t>No actual Web Locks/BroadcastChannel ownership runtime was found.</t>
  </si>
  <si>
    <t>Ship the learning-app runtime SDK/implementation and test same-origin multi-tab ownership.</t>
  </si>
  <si>
    <t>GAP-021</t>
  </si>
  <si>
    <t>Local persistence</t>
  </si>
  <si>
    <t>AT-LP-004-38</t>
  </si>
  <si>
    <t>Meaningful local runtime checkpoints are not implemented end-to-end in a learning app.</t>
  </si>
  <si>
    <t>Central progress APIs exist, but the browser-local change-gated runtime layer is absent.</t>
  </si>
  <si>
    <t>Implement SC-001 runtime state and only persist at meaningful boundaries.</t>
  </si>
  <si>
    <t>GAP-022</t>
  </si>
  <si>
    <t>Safety checkpoint</t>
  </si>
  <si>
    <t>AT-LP-004-39</t>
  </si>
  <si>
    <t>Five-minute change-gated safety checkpoint behavior is not implemented in the browser runtime.</t>
  </si>
  <si>
    <t>No learning-app runtime timer/checkpoint SDK is present.</t>
  </si>
  <si>
    <t>Add change-gated five-minute checkpoint logic to SC-001 SDK with deterministic clock tests.</t>
  </si>
  <si>
    <t>GAP-023</t>
  </si>
  <si>
    <t>Learner authentication</t>
  </si>
  <si>
    <t>Selection/start gates</t>
  </si>
  <si>
    <t>Learner mode is not cryptographically unlocked by WebAuthn.</t>
  </si>
  <si>
    <t>AU-002 accepts a caller-provided passkeyVerified boolean; IA-004 implementation is absent.</t>
  </si>
  <si>
    <t>Implement IA-004 and require verified learner-mode context before learner home/start.</t>
  </si>
  <si>
    <t>GAP-024</t>
  </si>
  <si>
    <t>Schedule authority</t>
  </si>
  <si>
    <t>Scheduled-app gate</t>
  </si>
  <si>
    <t>Production approved scheduler integration is not demonstrated.</t>
  </si>
  <si>
    <t>Session flow uses local contracts/fixtures; no independent scheduler service is proven.</t>
  </si>
  <si>
    <t>Integrate the signed/approved scheduler contract and add tamper/freshness tests.</t>
  </si>
  <si>
    <t>GAP-025</t>
  </si>
  <si>
    <t>Commercial authority</t>
  </si>
  <si>
    <t>Entitlement/credit gates</t>
  </si>
  <si>
    <t>Session eligibility depends on EN/BI sources that are only partially implemented.</t>
  </si>
  <si>
    <t>EN-001/EN-002 explicitly lack billing event producers and lifecycle overlays.</t>
  </si>
  <si>
    <t>Complete BI/EN sources and re-run LP-004 entitlement/weekly/credit regressions.</t>
  </si>
  <si>
    <t>https://github.com/SridharVoleti/babystepsindia/blob/master/src/lib/entitlement-cycle/service.ts</t>
  </si>
  <si>
    <t>GAP-026</t>
  </si>
  <si>
    <t>Architecture/security</t>
  </si>
  <si>
    <t>App registry operates on SQLite in active runtime; production Supabase RLS is not exercised.</t>
  </si>
  <si>
    <t>README states current runtime is local SQLite.</t>
  </si>
  <si>
    <t>Port/activate Postgres migrations/RLS and run admin authorization integration suite.</t>
  </si>
  <si>
    <t>GAP-027</t>
  </si>
  <si>
    <t>AT-AR-001-22</t>
  </si>
  <si>
    <t>App soft-delete commercial non-mutation/remediation is not proven against a real billing implementation.</t>
  </si>
  <si>
    <t>Billing lifecycle requirements are absent.</t>
  </si>
  <si>
    <t>Add BI/EN integration tests proving historical billing is preserved and no new purchase/use can begin.</t>
  </si>
  <si>
    <t>GAP-028</t>
  </si>
  <si>
    <t>Distributed concurrency</t>
  </si>
  <si>
    <t>Idempotency/concurrency</t>
  </si>
  <si>
    <t>Optimistic/idempotent registry logic is tested in a single local database, not under production multi-instance concurrency.</t>
  </si>
  <si>
    <t>Current test environment is SQLite.</t>
  </si>
  <si>
    <t>Add Postgres transactional/concurrency tests for create/update/activate/delete races.</t>
  </si>
  <si>
    <t>GAP-029</t>
  </si>
  <si>
    <t>Production scheduling</t>
  </si>
  <si>
    <t>AT-AN-001-09/10</t>
  </si>
  <si>
    <t>Daily 00:15 IST production scheduler execution is not demonstrated.</t>
  </si>
  <si>
    <t>Repository contains job logic/admin runs but no verified production scheduler execution evidence.</t>
  </si>
  <si>
    <t>Configure Vercel Cron or chosen scheduler, authenticate it and add runbook/monitoring checks.</t>
  </si>
  <si>
    <t>GAP-030</t>
  </si>
  <si>
    <t>Machine identity</t>
  </si>
  <si>
    <t>Internal authorization</t>
  </si>
  <si>
    <t>Analytics internal service authentication is not using the frozen AU-004 managed public-key identity.</t>
  </si>
  <si>
    <t>Current app/service principal architecture still contains shared-secret HS256 assertions.</t>
  </si>
  <si>
    <t>Move scheduler/service authentication to AU-004 Ed25519 managed principals.</t>
  </si>
  <si>
    <t>https://github.com/SridharVoleti/babystepsindia/blob/master/src/lib/app-launch/principal.ts</t>
  </si>
  <si>
    <t>GAP-031</t>
  </si>
  <si>
    <t>Production storage</t>
  </si>
  <si>
    <t>RLS/retention</t>
  </si>
  <si>
    <t>Anonymous-buffer retention behavior is not validated on the production Postgres path.</t>
  </si>
  <si>
    <t>Current runtime is SQLite.</t>
  </si>
  <si>
    <t>Run retention/reconciliation/purge tests on Supabase/Postgres before production certification.</t>
  </si>
  <si>
    <t>GAP-032</t>
  </si>
  <si>
    <t>Provider integration</t>
  </si>
  <si>
    <t>AT-AR-002-01/02</t>
  </si>
  <si>
    <t>Deployment provider discovery/project picker is not proven against live Vercel provider APIs.</t>
  </si>
  <si>
    <t>Repository has deployment service primitives but no verified provider-connected production flow.</t>
  </si>
  <si>
    <t>Implement/verify DeploymentProvider Vercel adapter, project discovery and ownership validation.</t>
  </si>
  <si>
    <t>GAP-033</t>
  </si>
  <si>
    <t>Repository provenance</t>
  </si>
  <si>
    <t>AT-AR-002-03/04</t>
  </si>
  <si>
    <t>Provider project ↔ repository ownership/repository binding is not proven end-to-end.</t>
  </si>
  <si>
    <t>Static services exist without live provider/source-control provenance evidence.</t>
  </si>
  <si>
    <t>Verify provider team ownership and exact GitHub repository binding before activation.</t>
  </si>
  <si>
    <t>GAP-034</t>
  </si>
  <si>
    <t>CI-only release creation</t>
  </si>
  <si>
    <t>AT-AR-002-09</t>
  </si>
  <si>
    <t>CI-only immutable release creation is not fully enforced by an external CI principal.</t>
  </si>
  <si>
    <t>No complete connected CI release publication path was established in the audited runtime.</t>
  </si>
  <si>
    <t>Require managed CI service identity and deny browser/admin release creation.</t>
  </si>
  <si>
    <t>GAP-035</t>
  </si>
  <si>
    <t>Artifact immutability</t>
  </si>
  <si>
    <t>AT-AR-002-10/11/12</t>
  </si>
  <si>
    <t>Build-once immutable artifact promotion across environments is incomplete.</t>
  </si>
  <si>
    <t>Release/deployment records exist, but provider artifact digest promotion is not demonstrated.</t>
  </si>
  <si>
    <t>Bind release to commit+artifact digest and promote the same artifact to staging/production.</t>
  </si>
  <si>
    <t>GAP-036</t>
  </si>
  <si>
    <t>Manifest validation</t>
  </si>
  <si>
    <t>AT-AR-002-07/08</t>
  </si>
  <si>
    <t>Release manifest identity/path validation is not proven as a mandatory pipeline gate.</t>
  </si>
  <si>
    <t>No complete CI manifest attestation path was verified.</t>
  </si>
  <si>
    <t>Require signed/validated manifest with app_key, safe paths and contract versions before verification.</t>
  </si>
  <si>
    <t>GAP-037</t>
  </si>
  <si>
    <t>Compatibility gate</t>
  </si>
  <si>
    <t>AT-AR-002-36/37</t>
  </si>
  <si>
    <t>Represented progress schema compatibility and destructive-migration blocking are incomplete.</t>
  </si>
  <si>
    <t>PR-001 migration requirement is frozen in v45 but not implemented in the repository.</t>
  </si>
  <si>
    <t>Implement PR-001 schema registry/migration path and make AR-002 promotion depend on it.</t>
  </si>
  <si>
    <t>GAP-038</t>
  </si>
  <si>
    <t>Deployment window</t>
  </si>
  <si>
    <t>AT-AR-002-38/39</t>
  </si>
  <si>
    <t>Advance-window/drain orchestration is not proven against a real provider deployment.</t>
  </si>
  <si>
    <t>Central block logic exists, but no provider-connected scheduled production execution evidence.</t>
  </si>
  <si>
    <t>Enforce &gt;=60-minute scheduled window and T-60 drain with provider operation idempotency.</t>
  </si>
  <si>
    <t>GAP-039</t>
  </si>
  <si>
    <t>Session safety</t>
  </si>
  <si>
    <t>AT-AR-002-41</t>
  </si>
  <si>
    <t>Zero reserved/active session revalidation at promotion commit is not proven under provider race conditions.</t>
  </si>
  <si>
    <t>Central counters exist; provider transaction boundary is not connected.</t>
  </si>
  <si>
    <t>Revalidate session/grant counts immediately before publish and abort/postpone atomically.</t>
  </si>
  <si>
    <t>GAP-040</t>
  </si>
  <si>
    <t>Rollback automation</t>
  </si>
  <si>
    <t>AT-AR-002-42/44</t>
  </si>
  <si>
    <t>Safe overrun/rollback publication is incomplete.</t>
  </si>
  <si>
    <t>No full provider-backed previous-release publication and observation loop was verified.</t>
  </si>
  <si>
    <t>Implement atomic pointer publish, post-publish observation, rollback and safe overrun state.</t>
  </si>
  <si>
    <t>GAP-041</t>
  </si>
  <si>
    <t>Production UI</t>
  </si>
  <si>
    <t>Admin deployment UX</t>
  </si>
  <si>
    <t>Admin deployment binding/release/promotion UI is only partial relative to the frozen provider-discovered workflow.</t>
  </si>
  <si>
    <t>Provider project selection and verification are not fully connected.</t>
  </si>
  <si>
    <t>Complete provider-backed project picker, release status, production approval and rollback UX.</t>
  </si>
  <si>
    <t>GAP-042</t>
  </si>
  <si>
    <t>App service authentication</t>
  </si>
  <si>
    <t>App backend client assertion uses HS256 shared secret rather than AU-004 public-key proof.</t>
  </si>
  <si>
    <t>createAppClientAssertion/verifyAppClientAssertion explicitly sign/verify HS256 with a secret.</t>
  </si>
  <si>
    <t>Replace with AU-004 Ed25519 key-pair principal assertions and managed key rotation.</t>
  </si>
  <si>
    <t>GAP-043</t>
  </si>
  <si>
    <t>SC-003 integration</t>
  </si>
  <si>
    <t>SC-003 amendment</t>
  </si>
  <si>
    <t>Starting reservation exchange cannot be certified as provisional-only because LA-002 issuance currently creates active grants.</t>
  </si>
  <si>
    <t>issueInitialAppGrant writes status='active' and broad scopes.</t>
  </si>
  <si>
    <t>Create provisional bootstrap/grant with only session.usable_launch until SC-003 activation.</t>
  </si>
  <si>
    <t>https://github.com/SridharVoleti/babystepsindia/blob/master/src/lib/app-authorization/service.ts</t>
  </si>
  <si>
    <t>GAP-044</t>
  </si>
  <si>
    <t>Cross-domain E2E</t>
  </si>
  <si>
    <t>AT-LA-001-01/04</t>
  </si>
  <si>
    <t>Independent-domain browser/app backend launch has not been exercised against a deployed learning app.</t>
  </si>
  <si>
    <t>Audited repository is the central platform and local test harness.</t>
  </si>
  <si>
    <t>Add E2E with an independent app origin validating POST-only launch, cookie isolation and no parent-token leakage.</t>
  </si>
  <si>
    <t>GAP-045</t>
  </si>
  <si>
    <t>Deployment dependency</t>
  </si>
  <si>
    <t>AT-LA-001-29..40</t>
  </si>
  <si>
    <t>Deployment drain/compatibility behavior depends on incomplete AR-002 provider integration.</t>
  </si>
  <si>
    <t>Central checks exist but provider publication lifecycle is partial.</t>
  </si>
  <si>
    <t>Complete AR-002 and run launch regression across drain/publish/rollback windows.</t>
  </si>
  <si>
    <t>GAP-046</t>
  </si>
  <si>
    <t>Entitlement dependency</t>
  </si>
  <si>
    <t>EN-002 launch gate</t>
  </si>
  <si>
    <t>Fresh access gate is only as authoritative as incomplete EN-001/EN-002 billing lifecycle.</t>
  </si>
  <si>
    <t>Entitlement periods are currently created from caller-supplied events.</t>
  </si>
  <si>
    <t>Complete verified billing event ingestion and lifecycle overlays, then re-run launch authorization tests.</t>
  </si>
  <si>
    <t>GAP-047</t>
  </si>
  <si>
    <t>Secrets management</t>
  </si>
  <si>
    <t>App-service shared secrets are environment-resolved rather than managed public keys.</t>
  </si>
  <si>
    <t>HS256 secret path is still required.</t>
  </si>
  <si>
    <t>Remove static app service secrets from deployment/runtime once AU-004 is implemented.</t>
  </si>
  <si>
    <t>GAP-048</t>
  </si>
  <si>
    <t>SC-003 provisional grant</t>
  </si>
  <si>
    <t>BR3/BR6 + SC-003 amendment</t>
  </si>
  <si>
    <t>Starting sessions receive an active grant with all APP_API_SCOPES instead of provisional usable-launch-only scope.</t>
  </si>
  <si>
    <t>issueInitialAppGrant inserts grant status='active'; APP_API_SCOPES includes progress/read/write/complete and heartbeat.</t>
  </si>
  <si>
    <t>Add grant status=provisional, scope only session.usable_launch, reservation-capped expiry; activate atomically at usable launch.</t>
  </si>
  <si>
    <t>GAP-049</t>
  </si>
  <si>
    <t>Dual credential</t>
  </si>
  <si>
    <t>Fresh app assertion is HS256 shared-secret based, not AU-004 managed Ed25519 identity.</t>
  </si>
  <si>
    <t>verifyAppClientAssertion resolves a shared secret and restricts algorithms to HS256.</t>
  </si>
  <si>
    <t>Migrate app client assertions to AU-004 public-key verification and key rotation.</t>
  </si>
  <si>
    <t>GAP-050</t>
  </si>
  <si>
    <t>Scope model</t>
  </si>
  <si>
    <t>No recurring heartbeat</t>
  </si>
  <si>
    <t>Approved scope list still includes session.heartbeat despite v45 moving runtime timing local and eliminating recurring heartbeat.</t>
  </si>
  <si>
    <t>APP_API_SCOPES contains session.heartbeat.</t>
  </si>
  <si>
    <t>Remove heartbeat scope/endpoint from the normal app grant unless a non-periodic, explicitly approved use remains.</t>
  </si>
  <si>
    <t>GAP-051</t>
  </si>
  <si>
    <t>Pre-activation authorization</t>
  </si>
  <si>
    <t>Current live-grant check treats starting sessions as authorized normal grant state.</t>
  </si>
  <si>
    <t>assertLiveGrant accepts learner session status 'starting'.</t>
  </si>
  <si>
    <t>For starting state, accept only a provisional grant at usable-launch endpoint; reject progress/completion/renewal.</t>
  </si>
  <si>
    <t>GAP-052</t>
  </si>
  <si>
    <t>SDK integration</t>
  </si>
  <si>
    <t>Backend cache/renewal</t>
  </si>
  <si>
    <t>No independently deployed learning-app backend SDK/cache/renewal integration is proven.</t>
  </si>
  <si>
    <t>Central token service exists, but consumer-side implementation is outside the audited repo.</t>
  </si>
  <si>
    <t>Publish/consume SDK and add contract E2E for silent renewal, revocation and no-browser-token guarantees.</t>
  </si>
  <si>
    <t>GAP-053</t>
  </si>
  <si>
    <t>Production key rotation</t>
  </si>
  <si>
    <t>AT-LA-002-37</t>
  </si>
  <si>
    <t>Access-token verification supports multiple keys from environment configuration, but production managed-key rotation is not operationally proven.</t>
  </si>
  <si>
    <t>APP_ACCESS_VERIFY_KEYS is environment JSON, not a managed key lifecycle service.</t>
  </si>
  <si>
    <t>Implement managed signing-key rotation/runbook and automated overlap/removal tests.</t>
  </si>
  <si>
    <t>GAP-054</t>
  </si>
  <si>
    <t>Progress migration</t>
  </si>
  <si>
    <t>AT-LA-003-36/37 + PR-001</t>
  </si>
  <si>
    <t>Frozen PR-001 per-row schema migration/rollback path is not implemented end-to-end.</t>
  </si>
  <si>
    <t>v45 requires represented schema compatibility and rollback-safe migration; no complete PR-001 implementation was found.</t>
  </si>
  <si>
    <t>Implement schema registry, deterministic migrators, compatibility gates and rollback read/migration.</t>
  </si>
  <si>
    <t>GAP-055</t>
  </si>
  <si>
    <t>Unsaved recovery</t>
  </si>
  <si>
    <t>PR-002 amendment</t>
  </si>
  <si>
    <t>Pending meaningful-progress capsule/original-device recovery contract is not implemented in a learning-app runtime.</t>
  </si>
  <si>
    <t>SC-001 browser runtime is absent.</t>
  </si>
  <si>
    <t>Implement signed/bound local pending capsule with server-version/hard-expiry checks and one-time recovery.</t>
  </si>
  <si>
    <t>GAP-056</t>
  </si>
  <si>
    <t>Progress summary</t>
  </si>
  <si>
    <t>PR-003 amendment</t>
  </si>
  <si>
    <t>Standard app-owned progress summary fields are not demonstrated as validated persisted/displayed contract.</t>
  </si>
  <si>
    <t>Core progress stores opaque state; newer PR-003 summary requirement was frozen after much of this implementation.</t>
  </si>
  <si>
    <t>Add latest acknowledged current level, efficiency stars, milestone and next destination contract.</t>
  </si>
  <si>
    <t>GAP-057</t>
  </si>
  <si>
    <t>Client checkpoint behavior</t>
  </si>
  <si>
    <t>Checkpoint cadence</t>
  </si>
  <si>
    <t>Server APIs exist, but meaningful/change-gated client checkpoint emission is not implemented in a learning app.</t>
  </si>
  <si>
    <t>No SC-001 runtime SDK is present.</t>
  </si>
  <si>
    <t>Implement checkpoint policy in SDK and ensure question/click activity does not trigger DB writes.</t>
  </si>
  <si>
    <t>GAP-058</t>
  </si>
  <si>
    <t>Production database</t>
  </si>
  <si>
    <t>Architecture</t>
  </si>
  <si>
    <t>Progress persistence runs on local SQLite rather than active Supabase/Postgres.</t>
  </si>
  <si>
    <t>README explicitly states current runtime is SQLite.</t>
  </si>
  <si>
    <t>Activate Postgres path, constraints/RLS and load/concurrency tests.</t>
  </si>
  <si>
    <t>GAP-059</t>
  </si>
  <si>
    <t>Release coupling</t>
  </si>
  <si>
    <t>AR-002 dependency</t>
  </si>
  <si>
    <t>Progress schema compatibility is not a fully enforced production release promotion gate.</t>
  </si>
  <si>
    <t>AR-002/PR-001 are incomplete.</t>
  </si>
  <si>
    <t>Block release promotion unless all represented progress schemas have safe forward/rollback paths.</t>
  </si>
  <si>
    <t>GAP-060</t>
  </si>
  <si>
    <t>LP-004/SC-001 amendment</t>
  </si>
  <si>
    <t>Automatic repeated-interruption completion remains an allowed server finalization reason.</t>
  </si>
  <si>
    <t>Remove the reason and associated trigger; use hard expiry and explicit valid end reasons only.</t>
  </si>
  <si>
    <t>GAP-061</t>
  </si>
  <si>
    <t>Local progress recovery</t>
  </si>
  <si>
    <t>PR-002</t>
  </si>
  <si>
    <t>Completion does not have the full browser pending-progress capsule/recovery handshake required by later frozen progress rules.</t>
  </si>
  <si>
    <t>SC-001 runtime is not implemented in the audited repo.</t>
  </si>
  <si>
    <t>Implement final pending-state flush/retry and original-device bounded recovery before final completion.</t>
  </si>
  <si>
    <t>GAP-062</t>
  </si>
  <si>
    <t>Progress summary integration</t>
  </si>
  <si>
    <t>PR-003</t>
  </si>
  <si>
    <t>Finalization does not prove update/display of the standardized app-owned progress summary.</t>
  </si>
  <si>
    <t>Core final_progress_version is enforced, but PR-003 common summary contract is not complete.</t>
  </si>
  <si>
    <t>Validate/store summary in the acknowledged progress checkpoint before completion.</t>
  </si>
  <si>
    <t>GAP-063</t>
  </si>
  <si>
    <t>Production app E2E</t>
  </si>
  <si>
    <t>Return/logout UX</t>
  </si>
  <si>
    <t>App-side safe return screen/cookie cleanup is not tested across an independently deployed learning app.</t>
  </si>
  <si>
    <t>Central finalization exists; consumer app UI/runtime is outside this repository.</t>
  </si>
  <si>
    <t>Add cross-domain E2E for complete → revoke → return, including stale-token denial.</t>
  </si>
  <si>
    <t>GAP-064</t>
  </si>
  <si>
    <t>Transactions/outbox</t>
  </si>
  <si>
    <t>Finalization/analytics atomicity is validated locally, not on production Postgres/outbox infrastructure.</t>
  </si>
  <si>
    <t>Current active DB is SQLite.</t>
  </si>
  <si>
    <t>Run fault-injection and idempotency suite on Postgres with real outbox boundaries.</t>
  </si>
  <si>
    <t>GAP-065</t>
  </si>
  <si>
    <t>Machine principal</t>
  </si>
  <si>
    <t>AU-004 dependency</t>
  </si>
  <si>
    <t>App-service principal authentication does not use the frozen AU-004 public-key identity contract.</t>
  </si>
  <si>
    <t>Current app assertion is HS256 shared-secret based.</t>
  </si>
  <si>
    <t>Implement AU-004 and make AU-001 app-service context derive only from verified managed principals.</t>
  </si>
  <si>
    <t>GAP-066</t>
  </si>
  <si>
    <t>Distributed policy runtime</t>
  </si>
  <si>
    <t>Authorization context</t>
  </si>
  <si>
    <t>Authorization policy/action state is stored/evaluated in the local database runtime.</t>
  </si>
  <si>
    <t>Current active runtime is SQLite.</t>
  </si>
  <si>
    <t>Move canonical policy/action data to production Postgres and validate multi-instance consistency.</t>
  </si>
  <si>
    <t>GAP-067</t>
  </si>
  <si>
    <t>Deployment authorization</t>
  </si>
  <si>
    <t>AT-AU-001-41..48</t>
  </si>
  <si>
    <t>Deployment policy decisions depend on incomplete AR-002 provider lifecycle.</t>
  </si>
  <si>
    <t>Canonical actions exist, but provider-connected schedule/promote/rollback flow is partial.</t>
  </si>
  <si>
    <t>Complete AR-002 and re-run deployment authorization/messaging regressions.</t>
  </si>
  <si>
    <t>GAP-068</t>
  </si>
  <si>
    <t>Transaction reauthorization</t>
  </si>
  <si>
    <t>AT-AU-001-10/11</t>
  </si>
  <si>
    <t>Production TOCTOU/locked reauthorization is not proven under Postgres concurrency.</t>
  </si>
  <si>
    <t>Current tests run against SQLite.</t>
  </si>
  <si>
    <t>Add serializable/row-lock Postgres race tests for sensitive mutations.</t>
  </si>
  <si>
    <t>GAP-069</t>
  </si>
  <si>
    <t>External static scans</t>
  </si>
  <si>
    <t>No evidence that independent learning-app repositories are scanned for direct DB/service-role credentials.</t>
  </si>
  <si>
    <t>Central repo can enforce its own code but cannot certify downstream app repos.</t>
  </si>
  <si>
    <t>Add CI policy checks/SDK contract scans to each learning-app repository.</t>
  </si>
  <si>
    <t>GAP-070</t>
  </si>
  <si>
    <t>WebAuthn</t>
  </si>
  <si>
    <t>AT-AU-002-03/04</t>
  </si>
  <si>
    <t>No WebAuthn learner-passkey registration/options/verification implementation was found.</t>
  </si>
  <si>
    <t>Learner mode infrastructure exists but no IA-004 credential/challenge service is present.</t>
  </si>
  <si>
    <t>Implement IA-004 WebAuthn end-to-end before enabling learner mode.</t>
  </si>
  <si>
    <t>GAP-071</t>
  </si>
  <si>
    <t>Trust boundary</t>
  </si>
  <si>
    <t>Learner unlock</t>
  </si>
  <si>
    <t>activateLearnerMode trusts a caller-supplied boolean passkeyVerified.</t>
  </si>
  <si>
    <t>Function only checks if passkeyVerified is true; it does not verify a credential assertion itself.</t>
  </si>
  <si>
    <t>Pass a verified server-side IA-004 assertion result/credential context, not a free boolean.</t>
  </si>
  <si>
    <t>GAP-072</t>
  </si>
  <si>
    <t>Passkey challenge lifecycle</t>
  </si>
  <si>
    <t>No 5-minute single-use hashed WebAuthn challenge/replay protection is implemented.</t>
  </si>
  <si>
    <t>No credential/challenge store was found for IA-004.</t>
  </si>
  <si>
    <t>Add challenge issuance, hash-only storage, expiry and replay prevention.</t>
  </si>
  <si>
    <t>GAP-073</t>
  </si>
  <si>
    <t>Credential lifecycle</t>
  </si>
  <si>
    <t>AT-AU-002-23</t>
  </si>
  <si>
    <t>No real learner passkey credential registry/revocation path is implemented.</t>
  </si>
  <si>
    <t>Context revocation by credential ID exists, but credential authenticity/lifecycle source is absent.</t>
  </si>
  <si>
    <t>Implement credential records, labels, active/revoked states, and reauth-protected management.</t>
  </si>
  <si>
    <t>GAP-074</t>
  </si>
  <si>
    <t>Unsupported/missing passkey UX</t>
  </si>
  <si>
    <t>Learner mode UX</t>
  </si>
  <si>
    <t>No supported-platform/missing-passkey locked learner screen and enrollment flow is implemented end-to-end.</t>
  </si>
  <si>
    <t>No IA-004 UI/routes were found.</t>
  </si>
  <si>
    <t>Implement locked learner UX with explicit enroll requirement and no fallback learner password/PIN.</t>
  </si>
  <si>
    <t>GAP-075</t>
  </si>
  <si>
    <t>Logout invalidation</t>
  </si>
  <si>
    <t>AT-AU-002-21</t>
  </si>
  <si>
    <t>Parent sign-out clears the cookie but does not explicitly revoke persisted learner unlock contexts in the shown signOut action.</t>
  </si>
  <si>
    <t>signOutAction calls clearSessionCookie only.</t>
  </si>
  <si>
    <t>Revoke learner contexts for the parent session/device on logout, then clear cookie.</t>
  </si>
  <si>
    <t>GAP-076</t>
  </si>
  <si>
    <t>Production session binding</t>
  </si>
  <si>
    <t>Device/session context</t>
  </si>
  <si>
    <t>Mode binding is implemented against local session IDs and SQLite, not verified on production Supabase session lifecycle.</t>
  </si>
  <si>
    <t>Current active auth is built-in local JWT.</t>
  </si>
  <si>
    <t>Validate nested context expiry/revocation against production parent sessions and multi-device cases.</t>
  </si>
  <si>
    <t>GAP-077</t>
  </si>
  <si>
    <t>Browser persistence</t>
  </si>
  <si>
    <t>AT-SC-001-01</t>
  </si>
  <si>
    <t>No actual IndexedDB runtime implementation is present in the audited repository.</t>
  </si>
  <si>
    <t>Central server code contains contracts but not the learning-app browser runtime.</t>
  </si>
  <si>
    <t>Implement versioned IndexedDB runtime in the shared learning-app SDK.</t>
  </si>
  <si>
    <t>GAP-078</t>
  </si>
  <si>
    <t>Envelope verification</t>
  </si>
  <si>
    <t>AT-SC-001-02</t>
  </si>
  <si>
    <t>Browser-side signed session-envelope verification is not demonstrated in a real learning app.</t>
  </si>
  <si>
    <t>Consumer runtime implementation is absent.</t>
  </si>
  <si>
    <t>Implement and E2E test envelope verification before local runtime creation.</t>
  </si>
  <si>
    <t>GAP-079</t>
  </si>
  <si>
    <t>Single-tab ownership</t>
  </si>
  <si>
    <t>AT-LP-004-36 / SC-001</t>
  </si>
  <si>
    <t>Web Locks/BroadcastChannel single-owner-tab control is absent.</t>
  </si>
  <si>
    <t>No browser runtime package implementing tab ownership was found.</t>
  </si>
  <si>
    <t>Add single-owner tab lease/coordination and pause non-owner tabs.</t>
  </si>
  <si>
    <t>GAP-080</t>
  </si>
  <si>
    <t>AT-SC-001-24 / LP-004-37</t>
  </si>
  <si>
    <t>Server still retains the old repeated-interruption completion path.</t>
  </si>
  <si>
    <t>finalizeSessionAutomatically includes repeated_interruption_after_threshold.</t>
  </si>
  <si>
    <t>Delete old threshold rule and associated server/client behavior.</t>
  </si>
  <si>
    <t>GAP-081</t>
  </si>
  <si>
    <t>Pending recovery</t>
  </si>
  <si>
    <t>One pending meaningful-progress capsule with original-device bounded recovery is absent.</t>
  </si>
  <si>
    <t>No browser-local runtime implementation was found.</t>
  </si>
  <si>
    <t>Implement capsule signing/binding, hard-expiry check, server-version comparison and one-time recovery.</t>
  </si>
  <si>
    <t>GAP-082</t>
  </si>
  <si>
    <t>Runtime migration</t>
  </si>
  <si>
    <t>AT-SC-001-28 / PR-001</t>
  </si>
  <si>
    <t>Browser runtime version migration is not implemented/proven.</t>
  </si>
  <si>
    <t>No client runtime migration registry/package was found.</t>
  </si>
  <si>
    <t>Add versioned local runtime migrators and unsupported-version fail-closed behavior.</t>
  </si>
  <si>
    <t>GAP-083</t>
  </si>
  <si>
    <t>Bandwidth certification</t>
  </si>
  <si>
    <t>AT-SC-001-30</t>
  </si>
  <si>
    <t>Zero periodic platform DB/API calls over a real 45-minute app session is not measured end-to-end.</t>
  </si>
  <si>
    <t>No deployed learning-app runtime test is present.</t>
  </si>
  <si>
    <t>Add network/DB instrumentation E2E proving start/read/meaningful writes/finalize only.</t>
  </si>
  <si>
    <t>GAP-084</t>
  </si>
  <si>
    <t>Billing authority</t>
  </si>
  <si>
    <t>AT-SC-002-01..08</t>
  </si>
  <si>
    <t>Recurring eight-credit allocation can be created from a caller-supplied paid-cycle event rather than a verified BI billing event.</t>
  </si>
  <si>
    <t>EN-001 comment explicitly says no BI producer exists and caller supplies the full event.</t>
  </si>
  <si>
    <t>Only accept authenticated, idempotent BI-005 paid-cycle events from the billing service.</t>
  </si>
  <si>
    <t>GAP-085</t>
  </si>
  <si>
    <t>Calendar correctness</t>
  </si>
  <si>
    <t>AT-SC-002-05</t>
  </si>
  <si>
    <t>Rollover expiry is computed by adding prior cycle duration in milliseconds, which can break Jan-31/short-month anchor restoration.</t>
  </si>
  <si>
    <t>batchExpiresAt = periodEnd + (periodEnd - periodStart).</t>
  </si>
  <si>
    <t>Compute expiry from subscription billing anchor/calendar-cycle boundaries with clamp-and-restore semantics.</t>
  </si>
  <si>
    <t>GAP-086</t>
  </si>
  <si>
    <t>Bundle authority</t>
  </si>
  <si>
    <t>AT-SC-002-02</t>
  </si>
  <si>
    <t>Per-app bundle allocations depend on caller-supplied appIds instead of an immutable verified product-version snapshot.</t>
  </si>
  <si>
    <t>No bundle catalog exists; appIds are supplied in ApplyPaidCycleInput.</t>
  </si>
  <si>
    <t>Resolve app set from immutable paid-cycle product snapshot produced by billing/catalog service.</t>
  </si>
  <si>
    <t>GAP-087</t>
  </si>
  <si>
    <t>Production concurrency</t>
  </si>
  <si>
    <t>Reservation/consumption</t>
  </si>
  <si>
    <t>Credit/week reservation atomicity is not certified on Postgres under multi-instance races.</t>
  </si>
  <si>
    <t>Current runtime/test DB is SQLite.</t>
  </si>
  <si>
    <t>Run serializable/locking concurrency tests on Supabase/Postgres.</t>
  </si>
  <si>
    <t>GAP-088</t>
  </si>
  <si>
    <t>Parent/learner UI</t>
  </si>
  <si>
    <t>Allowance summary</t>
  </si>
  <si>
    <t>Production learner/parent balance/expiry/catch-up presentation is not fully integrated with billing-backed entitlements.</t>
  </si>
  <si>
    <t>Central data exists but BI/EN lifecycle is partial.</t>
  </si>
  <si>
    <t>Complete UI integration after authoritative billing lifecycle is available.</t>
  </si>
  <si>
    <t>GAP-089</t>
  </si>
  <si>
    <t>Provisional authorization</t>
  </si>
  <si>
    <t>LA-002 amendment</t>
  </si>
  <si>
    <t>Reservation exchange currently creates an active broad-scope grant rather than provisional usable-launch-only authorization.</t>
  </si>
  <si>
    <t>LA-002 issueInitialAppGrant inserts active status/all scopes.</t>
  </si>
  <si>
    <t>Implement provisional grant and atomic provisional→active transition at usable launch.</t>
  </si>
  <si>
    <t>GAP-090</t>
  </si>
  <si>
    <t>Browser runtime handshake</t>
  </si>
  <si>
    <t>Usable launch</t>
  </si>
  <si>
    <t>Real browser runtime initialization → backend usable-launch handshake is not implemented end-to-end.</t>
  </si>
  <si>
    <t>No learning-app browser runtime package is present.</t>
  </si>
  <si>
    <t>Implement SDK boot, IndexedDB initialization and backend usable-launch callback before consuming funding.</t>
  </si>
  <si>
    <t>GAP-091</t>
  </si>
  <si>
    <t>AU-004</t>
  </si>
  <si>
    <t>Usable-launch dual proof relies on shared-secret app assertion rather than AU-004 managed key identity.</t>
  </si>
  <si>
    <t>App client assertion is HS256.</t>
  </si>
  <si>
    <t>Migrate app principal authentication to Ed25519 managed keys.</t>
  </si>
  <si>
    <t>GAP-092</t>
  </si>
  <si>
    <t>Progress migration gate</t>
  </si>
  <si>
    <t>PR-001</t>
  </si>
  <si>
    <t>Required progress/runtime migration before usable launch is incomplete.</t>
  </si>
  <si>
    <t>PR-001 is frozen in v45 but no full migration engine is implemented.</t>
  </si>
  <si>
    <t>Run required progress/runtime migration during reservation before funding consumption and block on failure.</t>
  </si>
  <si>
    <t>GAP-093</t>
  </si>
  <si>
    <t>Effective access lifecycle</t>
  </si>
  <si>
    <t>Fresh entitlement check exists, but its lifecycle model is incomplete and mishandles resume after paid-end.</t>
  </si>
  <si>
    <t>evaluateAccessFresh is period-based and lacks completed BI/EN lifecycle overlays.</t>
  </si>
  <si>
    <t>Complete EN-002 lifecycle model and add SC-003 freshness regressions.</t>
  </si>
  <si>
    <t>https://github.com/SridharVoleti/babystepsindia/blob/master/src/lib/entitlement-access/service.ts</t>
  </si>
  <si>
    <t>GAP-094</t>
  </si>
  <si>
    <t>Event authenticity</t>
  </si>
  <si>
    <t>Authority</t>
  </si>
  <si>
    <t>Paid-cycle event is supplied by the caller with no implemented BI producer/authenticity boundary.</t>
  </si>
  <si>
    <t>Source comment states future billing webhook/manual/test caller supplies the full event.</t>
  </si>
  <si>
    <t>Accept only verified BI billing lifecycle events with service identity, version and replay protection.</t>
  </si>
  <si>
    <t>GAP-095</t>
  </si>
  <si>
    <t>Ownership validation</t>
  </si>
  <si>
    <t>Source binding</t>
  </si>
  <si>
    <t>applyPaidCycle checks that learner exists but does not verify that assignedLearnerId is owned by purchaserParentId.</t>
  </si>
  <si>
    <t>Code selects learner by id only before creating entitlement cycle.</t>
  </si>
  <si>
    <t>Verify learner.owner_parent_id == purchaserParentId under lock before materialization.</t>
  </si>
  <si>
    <t>GAP-096</t>
  </si>
  <si>
    <t>Product authority</t>
  </si>
  <si>
    <t>Immutable bundle snapshot</t>
  </si>
  <si>
    <t>appIds/productVersion are caller-supplied because no authoritative product/bundle catalog snapshot exists.</t>
  </si>
  <si>
    <t>Code comment explicitly says no bundle catalog exists to re-derive it.</t>
  </si>
  <si>
    <t>Consume immutable product-version app snapshot from billing/catalog event; reject arbitrary app lists.</t>
  </si>
  <si>
    <t>GAP-097</t>
  </si>
  <si>
    <t>Lifecycle overlays</t>
  </si>
  <si>
    <t>Grace/cancellation/catalog</t>
  </si>
  <si>
    <t>Grace, cancellation and catalog-version lifecycle overlays are intentionally not implemented.</t>
  </si>
  <si>
    <t>Source comment states these rules are intentionally omitted because no producer exists.</t>
  </si>
  <si>
    <t>Implement verified EN-003/BI event handling for cancellation, reversal, grace and source version changes.</t>
  </si>
  <si>
    <t>GAP-098</t>
  </si>
  <si>
    <t>Calendar expiry</t>
  </si>
  <si>
    <t>Credit rollover</t>
  </si>
  <si>
    <t>Standard credit batch expiry uses duration arithmetic rather than subscription anchor boundaries.</t>
  </si>
  <si>
    <t>cycleLengthMs is added to periodEnd.</t>
  </si>
  <si>
    <t>Use billing-anchor calendar calculations for exact following-cycle boundary.</t>
  </si>
  <si>
    <t>GAP-099</t>
  </si>
  <si>
    <t>Subscription validation</t>
  </si>
  <si>
    <t>Commercial source</t>
  </si>
  <si>
    <t>Subscription/product/paid-provider state is not validated against authoritative BI records before creating periods.</t>
  </si>
  <si>
    <t>Input IDs are trusted beyond app/learner existence checks.</t>
  </si>
  <si>
    <t>Resolve and lock authoritative subscription/product/paid cycle records before entitlement writes.</t>
  </si>
  <si>
    <t>GAP-100</t>
  </si>
  <si>
    <t>Service authorization</t>
  </si>
  <si>
    <t>Entitlement cycle application is not bound to the frozen managed machine-principal model.</t>
  </si>
  <si>
    <t>AU-004 is not implemented; service functions can be called by future/manual caller.</t>
  </si>
  <si>
    <t>Expose only internal authenticated endpoint using managed service identity and exact action authorization.</t>
  </si>
  <si>
    <t>GAP-101</t>
  </si>
  <si>
    <t>Resume lifecycle</t>
  </si>
  <si>
    <t>AT-EN-002-11</t>
  </si>
  <si>
    <t>Fresh access evaluation denies resume after the entitlement period ends, even for a previously active session that v45 allows to resume until hard expiry.</t>
  </si>
  <si>
    <t>evaluateAccessFresh uses the same live covering-period requirement for useCase='resume'.</t>
  </si>
  <si>
    <t>Special-case exact existing session resume: honor original entitlement binding through hard expiry without creating new entitlement.</t>
  </si>
  <si>
    <t>GAP-102</t>
  </si>
  <si>
    <t>Checkout overlap</t>
  </si>
  <si>
    <t>AT-EN-002-13..23</t>
  </si>
  <si>
    <t>Checkout overlap rejection, activation race, paid-overlap incident and case path are not implemented.</t>
  </si>
  <si>
    <t>No BI checkout/payment flow exists in repository.</t>
  </si>
  <si>
    <t>Implement overlap check at intent and recheck at payment activation with deterministic incident handling.</t>
  </si>
  <si>
    <t>GAP-103</t>
  </si>
  <si>
    <t>Grace overlay</t>
  </si>
  <si>
    <t>AT-EN-002-04</t>
  </si>
  <si>
    <t>Approved grace access state is not represented by evaluateAccessFresh.</t>
  </si>
  <si>
    <t>AccessDecision state supports only active/inactive; no approved_grace overlay.</t>
  </si>
  <si>
    <t>Add verified grace overlay from billing lifecycle without creating a new standard allocation.</t>
  </si>
  <si>
    <t>GAP-104</t>
  </si>
  <si>
    <t>Cancellation lifecycle</t>
  </si>
  <si>
    <t>AT-EN-002-05/06</t>
  </si>
  <si>
    <t>Cancellation/reversal lifecycle is not represented beyond static entitlement periods.</t>
  </si>
  <si>
    <t>EN-001 explicitly omits cancellation overlays; EN-003 producer is absent.</t>
  </si>
  <si>
    <t>Apply verified lifecycle events and recompute effective access/version at paid-end/cancel/reverse boundaries.</t>
  </si>
  <si>
    <t>GAP-105</t>
  </si>
  <si>
    <t>Source authenticity</t>
  </si>
  <si>
    <t>Effective access is only as trustworthy as entitlement periods created from caller-supplied paid-cycle input.</t>
  </si>
  <si>
    <t>EN-001 does not currently verify a billing producer or purchaser ownership.</t>
  </si>
  <si>
    <t>Fix EN-001 authority boundary before treating EN-002 as security-authoritative.</t>
  </si>
  <si>
    <t>GAP-106</t>
  </si>
  <si>
    <t>Cache contract</t>
  </si>
  <si>
    <t>AT-EN-002-35/36</t>
  </si>
  <si>
    <t>Bounded launcher cache semantics are not implemented as a clear server cache contract.</t>
  </si>
  <si>
    <t>evaluateAccessFresh always reads DB; no explicit nearest-boundary cache layer was identified.</t>
  </si>
  <si>
    <t>Implement optional bounded launcher cache that never authorizes Start and expires by nearest entitlement/app boundary.</t>
  </si>
  <si>
    <t>GAP-107</t>
  </si>
  <si>
    <t>Lifecycle versioning</t>
  </si>
  <si>
    <t>AT-EN-002-34</t>
  </si>
  <si>
    <t>effective_version bumps only when period/role source-set hash changes, not necessarily on all lifecycle state changes such as grace/cancel.</t>
  </si>
  <si>
    <t>source_set_hash contains only period IDs and roles; missing lifecycle overlays cannot bump it.</t>
  </si>
  <si>
    <t>Include authoritative lifecycle source/version in effective decision version and invalidate caches on every relevant event.</t>
  </si>
  <si>
    <t>Scoring Method, Scope &amp; Audit Caveats</t>
  </si>
  <si>
    <t>Item</t>
  </si>
  <si>
    <t>Definition</t>
  </si>
  <si>
    <t>Source</t>
  </si>
  <si>
    <t>Notes</t>
  </si>
  <si>
    <t>1.0 point — inspected implementation materially satisfies the frozen behavior/constraint.</t>
  </si>
  <si>
    <t>Frozen acceptance source</t>
  </si>
  <si>
    <t>0.5 point — core behavior exists but production runtime, dependency, edge case or contract is incomplete.</t>
  </si>
  <si>
    <t>https://github.com/SridharVoleti/babystepsindia</t>
  </si>
  <si>
    <t>Audited codebase</t>
  </si>
  <si>
    <t>0 points — required behavior is absent or implementation conflicts with v45.</t>
  </si>
  <si>
    <t>Default branch</t>
  </si>
  <si>
    <t>Formula</t>
  </si>
  <si>
    <t>Match % = (Full + 0.5 × Partial) / Acceptance Criteria or approved acceptance-test count.</t>
  </si>
  <si>
    <t>Audited repository state</t>
  </si>
  <si>
    <t>Static repository audit against v45. It is not a production certification or a substitute for executing the complete acceptance suite.</t>
  </si>
  <si>
    <t>Runtime note</t>
  </si>
  <si>
    <t>README: local SQLite + built-in auth</t>
  </si>
  <si>
    <t>Major recurring production-contract deduction</t>
  </si>
  <si>
    <t>Gap coverage</t>
  </si>
  <si>
    <t>Gap Register lists every distinct gap identified during this static review; shared architectural gaps are repeated where they materially reduce a requirement score.</t>
  </si>
  <si>
    <t>Included Requirement</t>
  </si>
  <si>
    <t>Why Included</t>
  </si>
  <si>
    <t>Implementation Signal</t>
  </si>
  <si>
    <t>Excluded / Not Scored</t>
  </si>
  <si>
    <t>IA-001/002/003</t>
  </si>
  <si>
    <t>Explicit auth/profile/security implementation and tests</t>
  </si>
  <si>
    <t>README, routes, repos, migrations</t>
  </si>
  <si>
    <t>IA-004 — no WebAuthn implementation found</t>
  </si>
  <si>
    <t>LP-001/002/004</t>
  </si>
  <si>
    <t>Explicit learner/session services and tests</t>
  </si>
  <si>
    <t>Learner routes/repos, session services, migrations</t>
  </si>
  <si>
    <t>New BB-10 launcher requirements — no explicit v45 implementation slice at audited HEAD</t>
  </si>
  <si>
    <t>Explicit app registry implementation/tests</t>
  </si>
  <si>
    <t>Admin app registry services/migrations</t>
  </si>
  <si>
    <t>—</t>
  </si>
  <si>
    <t>Explicit analytics implementation/tests</t>
  </si>
  <si>
    <t>Analytics buffer/jobs/admin routes</t>
  </si>
  <si>
    <t>Other analytics requirements not implemented</t>
  </si>
  <si>
    <t>Meaningful deployment primitives exist</t>
  </si>
  <si>
    <t>Deployment services/routes/tests</t>
  </si>
  <si>
    <t>Scored as Partial, not as completed</t>
  </si>
  <si>
    <t>LA-001/002/003/004</t>
  </si>
  <si>
    <t>Explicit launch/auth/progress/finalization services/tests</t>
  </si>
  <si>
    <t>App launch/grant/progress/finalization modules</t>
  </si>
  <si>
    <t>AU-001/002</t>
  </si>
  <si>
    <t>Explicit policy/mode services/tests</t>
  </si>
  <si>
    <t>authorization/modes and action catalog</t>
  </si>
  <si>
    <t>AU-004 — machine identity contract not implemented</t>
  </si>
  <si>
    <t>SC-001/002/003</t>
  </si>
  <si>
    <t>Explicit runtime/credits/start contracts and server pieces</t>
  </si>
  <si>
    <t>Session/credit/start services/tests</t>
  </si>
  <si>
    <t>SC-001 browser SDK itself remains partial</t>
  </si>
  <si>
    <t>EN-001/002</t>
  </si>
  <si>
    <t>Explicit entitlement-cycle/access services/tests</t>
  </si>
  <si>
    <t>entitlement-cycle/access modules</t>
  </si>
  <si>
    <t>EN-003 lifecycle events not implemented</t>
  </si>
  <si>
    <t>Billing BI-* / Progress PR-*</t>
  </si>
  <si>
    <t>Not scored</t>
  </si>
  <si>
    <t>No complete implementation slice found</t>
  </si>
  <si>
    <t>These appear as dependencies/gaps where they reduce an implemented requirement's match</t>
  </si>
  <si>
    <t>Resolution Notes</t>
  </si>
  <si>
    <t>Resolved</t>
  </si>
  <si>
    <t>Resolved 2026-08-08: standard-credit batch expiry now computed via calendar-anchor month arithmetic (addCalendarMonthsClamped/calendarMonthsBetween), not raw millisecond duration  -  fixes drift across months of different lengths. src/lib/entitlement-cycle/service.ts.</t>
  </si>
  <si>
    <t>Resolved 2026-08-08: session-start grants are now provisional (scope session.usable_launch only) until confirmUsableLaunch atomically activates them to full scope. src/lib/app-authorization/service.ts, src/lib/learning-session/gateway.ts.</t>
  </si>
  <si>
    <t>Resolved 2026-08-08: removed the repeated_interruption_after_threshold auto-completion path entirely  -  hard expiry is the sole recovery boundary now. src/lib/session-finalization/service.ts, src/lib/learning-session/gateway.ts.</t>
  </si>
  <si>
    <t>Resolved 2026-08-08: same fix as GAP-019/060  -  repeated-interruption auto-completion removed.</t>
  </si>
  <si>
    <t>Resolved 2026-08-08: same fix as GAP-043/048  -  provisional-until-usable-launch grant lifecycle.</t>
  </si>
  <si>
    <t>Resolved 2026-08-08: same fix as GAP-019/080  -  repeated-interruption auto-completion removed.</t>
  </si>
  <si>
    <t>Resolved 2026-08-08: account_events for email_change_requested/verified now store maskEmail() output, not raw addresses (parent_email_history keeps the full archival record per its own append-only rule). src/lib/db/account-security-repo.ts.</t>
  </si>
  <si>
    <t>Resolved 2026-08-08: softDeleteAccount now atomically revokes every active/starting learner session and its app grant via new revokeActiveLearnerSessionsForParent, in the same transaction. src/lib/learning-session/gateway.ts, src/lib/db/account-security-repo.ts.</t>
  </si>
  <si>
    <t>Resolved 2026-08-08: evaluateAccessFresh special-cases useCase='resume' to honor the session's original entitlement binding (persisted at Start) through hard expiry, instead of re-checking a live covering period. Wired into resumeLearnerSession. src/lib/entitlement-access/service.ts, src/lib/learning-session/gateway.ts.</t>
  </si>
  <si>
    <t>Resolved 2026-08-08: email-change verification token is now sha256-hashed (token_hash column)  -  raw token never persisted. src/lib/db/account-security-repo.ts, src/lib/db/schema.sql.</t>
  </si>
  <si>
    <t>Already resolved prior to this audit pass (commit 89efe0a)  -  signOutAction calls revokeLearnerContextsForSession before clearing the cookie. src/app/(auth)/actions.ts:180-185. Verified 2026-08-08; no further action needed.</t>
  </si>
  <si>
    <t>Resolved 2026-08-08: assertLiveGrant now rejects a provisional grant once the session is no longer 'starting'. src/lib/app-authorization/service.ts.</t>
  </si>
  <si>
    <t>Resolved 2026-08-08: session.heartbeat renamed to session.usable_launch across APP_API_SCOPES and the three routes that used it (usable-launch/disconnect/resume)  -  reflects the actual non-periodic use, no recurring heartbeat remains.</t>
  </si>
  <si>
    <t>Resolved 2026-08-08: applyPaidCycle now verifies learner.owner_parent_id == purchaserParentId before materializing an entitlement cycle. src/lib/entitlement-cycle/service.ts.</t>
  </si>
  <si>
    <t>Resolved 2026-08-08: issueInitialAppGrant creates status='provisional' with only session.usable_launch scope; activateAppGrant upgrades atomically at usable launch. Same fix as GAP-043/089.</t>
  </si>
  <si>
    <t>Resolved 2026-08-08: same fix as GAP-085  -  calendar-anchor-based expiry.</t>
  </si>
  <si>
    <t>Deferred</t>
  </si>
  <si>
    <t>Deferred  -  platform: requires the BI/EN billing lifecycle to be complete.</t>
  </si>
  <si>
    <t>Deferred  -  platform: requires Postgres multi-instance concurrency testing.</t>
  </si>
  <si>
    <t>Deferred  -  platform: requires a product/bundle catalog service.</t>
  </si>
  <si>
    <t>Deferred  -  platform: requires a real BI-005 billing event producer/gateway.</t>
  </si>
  <si>
    <t>Deferred  -  platform: requires validating against production Supabase parent-session lifecycle.</t>
  </si>
  <si>
    <t>Deferred  -  platform: requires a real BI billing event producer with service-identity/replay protection.</t>
  </si>
  <si>
    <t>Deferred  -  platform/out-of-repo: requires CI policy scans on each independent learning-app repository.</t>
  </si>
  <si>
    <t>Deferred  -  platform: requires Postgres serializable/row-lock concurrency testing.</t>
  </si>
  <si>
    <t>Deferred  -  platform: requires AR-002's live-provider pieces (see GAP-032-041) to be complete first.</t>
  </si>
  <si>
    <t>Deferred  -  platform: requires moving canonical policy data to production Postgres.</t>
  </si>
  <si>
    <t>Deferred  -  platform: requires production Postgres/outbox infrastructure.</t>
  </si>
  <si>
    <t>Deferred  -  platform: requires an independently deployed learning app for cross-domain E2E.</t>
  </si>
  <si>
    <t>Deferred  -  platform: same root cause as GAP-094  -  requires a real BI billing event producer.</t>
  </si>
  <si>
    <t>Deferred  -  platform: requires activating production Postgres/Supabase for progress persistence.</t>
  </si>
  <si>
    <t>Deferred  -  platform: requires an operational managed-key rotation runbook.</t>
  </si>
  <si>
    <t>Deferred  -  platform/out-of-repo: requires a learning-app backend SDK maintained outside this repository.</t>
  </si>
  <si>
    <t>Deferred  -  platform: requires a BI/EN-003 cancellation/reversal producer.</t>
  </si>
  <si>
    <t>Deferred  -  platform: requires the full BI billing event ingestion pipeline.</t>
  </si>
  <si>
    <t>Deferred  -  platform: requires an independently deployed learning app to exercise cross-domain E2E.</t>
  </si>
  <si>
    <t>Deferred  -  platform: requires the live provider-connected project picker (Vercel) to be connected.</t>
  </si>
  <si>
    <t>Deferred  -  platform: requires a real provider-backed publish/rollback loop (Vercel).</t>
  </si>
  <si>
    <t>Deferred  -  platform: requires live provider transaction boundaries at promotion time.</t>
  </si>
  <si>
    <t>Deferred  -  platform: requires a real provider-connected scheduled production deployment.</t>
  </si>
  <si>
    <t>Deferred  -  platform: requires a connected external CI manifest-attestation pipeline.</t>
  </si>
  <si>
    <t>Deferred  -  platform: requires live provider artifact-digest promotion (Vercel).</t>
  </si>
  <si>
    <t>Deferred  -  platform: requires a connected external CI identity/pipeline.</t>
  </si>
  <si>
    <t>Deferred  -  platform: requires live provider/source-control provenance (Vercel + GitHub).</t>
  </si>
  <si>
    <t>Deferred  -  platform: requires live Vercel provider API access.</t>
  </si>
  <si>
    <t>Deferred  -  platform: requires production Postgres to validate retention/purge behavior.</t>
  </si>
  <si>
    <t>Deferred  -  platform: requires configuring the production scheduler (Vercel Cron) and its authentication.</t>
  </si>
  <si>
    <t>Deferred  -  platform: requires a real billing implementation (BI requirements not yet built).</t>
  </si>
  <si>
    <t>Deferred  -  platform: requires activating Postgres/RLS in production.</t>
  </si>
  <si>
    <t>Deferred  -  platform: requires an external/production scheduler service integration.</t>
  </si>
  <si>
    <t>Deferred  -  platform: requires a BI checkout/payment flow to exist at all.</t>
  </si>
  <si>
    <t>Deferred  -  platform: requires the BI billing/subscription lifecycle to exist.</t>
  </si>
  <si>
    <t>Deferred  -  platform: requires Supabase RLS on a live Postgres project.</t>
  </si>
  <si>
    <t>Deferred  -  platform: requires the BI/EN billing services this depends on to exist.</t>
  </si>
  <si>
    <t>Deferred  -  platform: requires a BI/EN-003 grace-lifecycle producer.</t>
  </si>
  <si>
    <t>Deferred  -  platform: requires Supabase RLS to validate learner isolation on production Postgres.</t>
  </si>
  <si>
    <t>Deferred  -  platform: requires Supabase's own email-change callback/token verification.</t>
  </si>
  <si>
    <t>Deferred  -  platform: requires authoritative BI subscription/product/payment records.</t>
  </si>
  <si>
    <t>Deferred  -  platform: requires configuring Supabase Auth project settings (email-link expiry) directly.</t>
  </si>
  <si>
    <t>Deferred  -  platform: requires BI/EN-003 lifecycle event producers (grace/cancellation) that do not exist.</t>
  </si>
  <si>
    <t>Deferred  -  platform: requires Supabase RLS policies on a live Postgres project.</t>
  </si>
  <si>
    <t>Deferred  -  platform: requires a real billing/invoice provider (BI requirements not yet built).</t>
  </si>
  <si>
    <t>Deferred  -  platform: requires porting parent onboarding to the production Supabase/Postgres stack.</t>
  </si>
  <si>
    <t>Deferred  -  platform: requires a live Supabase project to exercise production auth/session/email flows end-to-end.</t>
  </si>
  <si>
    <t>Deferred  -  platform: requires a shared durable store (Redis/Vercel KV) for cross-instance rate limiting; current in-memory limiter is correct for single-process.</t>
  </si>
  <si>
    <t>Deferred  -  platform: requires activating Supabase Auth in production (current runtime is local SQLite + built-in session auth by design, see README).</t>
  </si>
  <si>
    <t>Deferred - platform: requires configuring production email delivery (Supabase/custom SMTP callbacks); same root cause as GAP-001/004.</t>
  </si>
  <si>
    <t>Resolved - IA-004 WebAuthn built (src/lib/webauthn/service.ts); real passkey registration/authentication now backs the learner-lock trust boundary, closing the dependency.</t>
  </si>
  <si>
    <t>Resolved - added cross-requirement integration tests (tests/gap-018-lp002-session-integration.test.ts) covering a date-of-birth change against weekly session-slot usage and analytics age-band attribution across the full session lifecycle.</t>
  </si>
  <si>
    <t>Resolved - SC-001 browser runtime SDK built (src/lib/session-runtime-sdk/): real IndexedDB-backed runtime with Web Locks + BroadcastChannel single-owner-tab coordination.</t>
  </si>
  <si>
    <t>Resolved - SC-001 browser runtime SDK: real IndexedDB persistence via createRuntime/recordMeaningfulChange, only writing at meaningful boundaries.</t>
  </si>
  <si>
    <t>Resolved - SC-001 browser runtime SDK: checkpointIfDue implements the five-minute change-gated safety checkpoint with deterministic clock tests.</t>
  </si>
  <si>
    <t>Resolved - IA-004 WebAuthn cryptographically unlocks learner mode via activateLearnerMode's one-time verificationReceiptId, consumed only after a real passkey assertion verifies (recordTrustedPasskeyVerification).</t>
  </si>
  <si>
    <t>Deferred - platform: requires the full BI/EN billing lifecycle (product/bundle catalog, checkout, payment gateway) that does not exist in this repo; same root cause as GAP-084/086/088/094/096/097/099.</t>
  </si>
  <si>
    <t>Resolved - AU-004 Ed25519 managed machine identity; AN-001 scheduler/contributor platform-service principals now sign with EdDSA, verified against a stored public key, no shared secret.</t>
  </si>
  <si>
    <t>Resolved - PR-001 progress schema registry (src/lib/progress-schema-registry/service.ts) gate wired into AR-002's approveProduction via assertReleaseSchemaCompatibility; a release with no forward+rollback migration path from an in-use schema version cannot promote.</t>
  </si>
  <si>
    <t>Resolved - AU-004 Ed25519; app-service client assertions now use a per-principal Ed25519 key pair, no HS256 shared secret.</t>
  </si>
  <si>
    <t>Resolved - AU-004; APP_SERVICE_SECRETS/PLATFORM_SERVICE_SECRETS env-var secret maps removed entirely from the codebase.</t>
  </si>
  <si>
    <t>Resolved - AU-004; LA-002 fresh app assertion now verified via the principal's stored Ed25519 public key.</t>
  </si>
  <si>
    <t>Resolved - PR-001 schema registry: deterministic declarative (rename/default/drop) migrators walked step-by-step, plus the AR-002 forward/rollback compatibility gate.</t>
  </si>
  <si>
    <t>Resolved - SC-001's prepareResume implements the signed/bound (HMAC over a device-local key that never leaves IndexedDB) pending capsule with hard-expiry and server-progress-version checks, one-time recovery.</t>
  </si>
  <si>
    <t>Resolved - PR-003 standard app-owned progress summary contract (current level, efficiency stars, milestone, next destination) added to saveCheckpoint/completeLesson, validated and persisted on learner_app_progress.progress_summary_json.</t>
  </si>
  <si>
    <t>Resolved - SC-001's checkpointIfDue implements the five-minute change-gated checkpoint; ordinary interaction (clicks/navigation) never reaches a DB write, proven by a test spanning a simulated 45-minute session.</t>
  </si>
  <si>
    <t>Resolved - same AR-002 promotion gate as GAP-037 (assertReleaseSchemaCompatibility blocks promotion without a safe schema migration path).</t>
  </si>
  <si>
    <t>Resolved - SC-001's prepareResume/checkpointIfDue give LA-004 completion a real local pending-capsule flush/retry and original-device-bounded recovery path.</t>
  </si>
  <si>
    <t>Resolved - PR-003 summary is surfaced again at session finalization (finalProgressSummary in the finalizeLearnerSession response).</t>
  </si>
  <si>
    <t>Resolved - AU-004; AU-001's app-service context now derives only from a verified Ed25519-signed managed principal.</t>
  </si>
  <si>
    <t>Resolved - IA-004: full WebAuthn registration/authentication implementation (@simplewebauthn/server) with real ECDSA ceremonies, tested via a from-scratch virtual authenticator, not mocks.</t>
  </si>
  <si>
    <t>Resolved - activateLearnerMode already took a verificationReceiptId (not a boolean); IA-004 now supplies the real verifier that produces that receipt only after genuine WebAuthn verification.</t>
  </si>
  <si>
    <t>Resolved - IA-004: 5-minute single-use hashed (never raw) WebAuthn challenges in webauthn_challenges, consumed exactly once.</t>
  </si>
  <si>
    <t>Resolved - IA-004: learner_passkey_credentials registry with label, active/revoked state, sign-counter clone detection, and reauth-protected revocation that also tears down any active learner-mode context bound to the credential.</t>
  </si>
  <si>
    <t>Resolved - IA-004: locked-learner enrollment/unlock UI (src/components/learner-mode/passkey-unlock.tsx) with explicit browserSupportsWebAuthn() feature detection and no password/PIN fallback.</t>
  </si>
  <si>
    <t>Resolved - SC-001 browser runtime SDK: real IndexedDB implementation (src/lib/session-runtime-sdk/idb.ts) in the shared learning-app SDK.</t>
  </si>
  <si>
    <t>Resolved - session envelope switched from HS256 to EdDSA specifically so the browser SDK's createRuntime can verify it with only the Ed25519 public key, before any local runtime is created.</t>
  </si>
  <si>
    <t>Resolved - SC-001's claimOwnerTab: Web Locks single-owner-tab lease plus BroadcastChannel coordination, tested against a mocked LockManager for real acquire/contend/release semantics.</t>
  </si>
  <si>
    <t>Resolved - same pending-capsule mechanism as GAP-055 (signing/binding, hard-expiry check, server-version comparison, one-time recovery).</t>
  </si>
  <si>
    <t>Resolved - SC-001 migrations.ts: versioned local runtime migrators with fail-closed behavior on an unrecognized future version, exercised end-to-end.</t>
  </si>
  <si>
    <t>Resolved - test proves zero network/platform-DB calls occur across a simulated 45-minute session absent a due+dirty checkpoint (only meaningful changes ever produce a sync call).</t>
  </si>
  <si>
    <t>Resolved - SC-001 browser runtime SDK provides the real SDK-boot/IndexedDB-initialization half of the handshake; the app backend's own usable-launch callback into the already-real POST usable-launch route is the out-of-repo half, same boundary as GAP-052.</t>
  </si>
  <si>
    <t>Resolved - AU-004; SC-003 usable-launch dual proof now uses Ed25519 app-service assertions.</t>
  </si>
  <si>
    <t>Resolved - PR-001's migrateLearnerProgressToReleaseSchema wired into confirmUsableLaunch, running before funding consumption and blocking (leaving funding untouched) if no migration path exists.</t>
  </si>
  <si>
    <t>Deferred - platform: requires BI/EN-003 lifecycle event producers (grace/cancellation) that do not exist; same root cause as GAP-097/103/104.</t>
  </si>
  <si>
    <t>Resolved - AU-004; the apply-paid-cycle/evaluate-access internal routes already required requireInternalService, now backed by verified Ed25519 managed principals instead of an HS256 shared-secret scheme.</t>
  </si>
  <si>
    <t>Resolved - evaluateAccessForLauncher (src/lib/entitlement-access/launcher-cache.ts): a bounded, read-only cache for launcher/home-screen display only, expiring at the sooner of a 60s TTL or the decision's own nearest entitlement/app boundary; never consulted by Start/exchange/usable-launch/resume.</t>
  </si>
  <si>
    <t>Deferred - platform: requires EN-003 lifecycle overlays (grace/cancel) driven by a BI producer that does not exist; same root cause as GAP-093/097/103/104.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</si>
</sst>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name val="Carlito"/>
    </font>
    <font>
      <b/>
      <sz val="16"/>
      <color rgb="FFFFFFFF"/>
      <name val="Carlito"/>
    </font>
    <font>
      <b/>
      <sz val="10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bgColor rgb="FFFFF2CC"/>
        </patternFill>
      </fill>
    </dxf>
    <dxf>
      <font>
        <color rgb="FF7F6000"/>
      </font>
      <fill>
        <patternFill patternType="solid">
          <bgColor rgb="FFFCE5CD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Match % by Implemented Requirement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Title</c:v>
          </c:tx>
          <c:invertIfNegative val="1"/>
          <c:cat>
            <c:strRef>
              <c:f>'Executive Summary'!$A$13:$A$32</c:f>
              <c:strCache>
                <c:ptCount val="20"/>
                <c:pt idx="0">
                  <c:v>IA-001</c:v>
                </c:pt>
                <c:pt idx="1">
                  <c:v>IA-002</c:v>
                </c:pt>
                <c:pt idx="2">
                  <c:v>IA-003</c:v>
                </c:pt>
                <c:pt idx="3">
                  <c:v>LP-001</c:v>
                </c:pt>
                <c:pt idx="4">
                  <c:v>LP-002</c:v>
                </c:pt>
                <c:pt idx="5">
                  <c:v>LP-004</c:v>
                </c:pt>
                <c:pt idx="6">
                  <c:v>AR-001</c:v>
                </c:pt>
                <c:pt idx="7">
                  <c:v>AN-001</c:v>
                </c:pt>
                <c:pt idx="8">
                  <c:v>AR-002</c:v>
                </c:pt>
                <c:pt idx="9">
                  <c:v>LA-001</c:v>
                </c:pt>
                <c:pt idx="10">
                  <c:v>LA-002</c:v>
                </c:pt>
                <c:pt idx="11">
                  <c:v>LA-003</c:v>
                </c:pt>
                <c:pt idx="12">
                  <c:v>LA-004</c:v>
                </c:pt>
                <c:pt idx="13">
                  <c:v>AU-001</c:v>
                </c:pt>
                <c:pt idx="14">
                  <c:v>AU-002</c:v>
                </c:pt>
                <c:pt idx="15">
                  <c:v>SC-001</c:v>
                </c:pt>
                <c:pt idx="16">
                  <c:v>SC-002</c:v>
                </c:pt>
                <c:pt idx="17">
                  <c:v>SC-003</c:v>
                </c:pt>
                <c:pt idx="18">
                  <c:v>EN-001</c:v>
                </c:pt>
                <c:pt idx="19">
                  <c:v>EN-002</c:v>
                </c:pt>
              </c:strCache>
            </c:strRef>
          </c:cat>
          <c:val>
            <c:numRef>
              <c:f>'Executive Summary'!$B$13:$B$32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B-4476-AF74-4607A2D4038E}"/>
            </c:ext>
          </c:extLst>
        </c:ser>
        <c:ser>
          <c:idx val="1"/>
          <c:order val="1"/>
          <c:tx>
            <c:v>Match %</c:v>
          </c:tx>
          <c:invertIfNegative val="1"/>
          <c:cat>
            <c:strRef>
              <c:f>'Executive Summary'!$A$13:$A$32</c:f>
              <c:strCache>
                <c:ptCount val="20"/>
                <c:pt idx="0">
                  <c:v>IA-001</c:v>
                </c:pt>
                <c:pt idx="1">
                  <c:v>IA-002</c:v>
                </c:pt>
                <c:pt idx="2">
                  <c:v>IA-003</c:v>
                </c:pt>
                <c:pt idx="3">
                  <c:v>LP-001</c:v>
                </c:pt>
                <c:pt idx="4">
                  <c:v>LP-002</c:v>
                </c:pt>
                <c:pt idx="5">
                  <c:v>LP-004</c:v>
                </c:pt>
                <c:pt idx="6">
                  <c:v>AR-001</c:v>
                </c:pt>
                <c:pt idx="7">
                  <c:v>AN-001</c:v>
                </c:pt>
                <c:pt idx="8">
                  <c:v>AR-002</c:v>
                </c:pt>
                <c:pt idx="9">
                  <c:v>LA-001</c:v>
                </c:pt>
                <c:pt idx="10">
                  <c:v>LA-002</c:v>
                </c:pt>
                <c:pt idx="11">
                  <c:v>LA-003</c:v>
                </c:pt>
                <c:pt idx="12">
                  <c:v>LA-004</c:v>
                </c:pt>
                <c:pt idx="13">
                  <c:v>AU-001</c:v>
                </c:pt>
                <c:pt idx="14">
                  <c:v>AU-002</c:v>
                </c:pt>
                <c:pt idx="15">
                  <c:v>SC-001</c:v>
                </c:pt>
                <c:pt idx="16">
                  <c:v>SC-002</c:v>
                </c:pt>
                <c:pt idx="17">
                  <c:v>SC-003</c:v>
                </c:pt>
                <c:pt idx="18">
                  <c:v>EN-001</c:v>
                </c:pt>
                <c:pt idx="19">
                  <c:v>EN-002</c:v>
                </c:pt>
              </c:strCache>
            </c:strRef>
          </c:cat>
          <c:val>
            <c:numRef>
              <c:f>'Executive Summary'!$C$13:$C$32</c:f>
              <c:numCache>
                <c:formatCode>0.0%</c:formatCode>
                <c:ptCount val="20"/>
                <c:pt idx="0">
                  <c:v>0.85</c:v>
                </c:pt>
                <c:pt idx="1">
                  <c:v>0.9285714285714286</c:v>
                </c:pt>
                <c:pt idx="2">
                  <c:v>0.76666666666666672</c:v>
                </c:pt>
                <c:pt idx="3">
                  <c:v>0.94230769230769229</c:v>
                </c:pt>
                <c:pt idx="4">
                  <c:v>0.96</c:v>
                </c:pt>
                <c:pt idx="5">
                  <c:v>0.77777777777777779</c:v>
                </c:pt>
                <c:pt idx="6">
                  <c:v>0.96666666666666667</c:v>
                </c:pt>
                <c:pt idx="7">
                  <c:v>0.94285714285714284</c:v>
                </c:pt>
                <c:pt idx="8">
                  <c:v>0.5</c:v>
                </c:pt>
                <c:pt idx="9">
                  <c:v>0.8</c:v>
                </c:pt>
                <c:pt idx="10">
                  <c:v>0.72499999999999998</c:v>
                </c:pt>
                <c:pt idx="11">
                  <c:v>0.8</c:v>
                </c:pt>
                <c:pt idx="12">
                  <c:v>0.76666666666666672</c:v>
                </c:pt>
                <c:pt idx="13">
                  <c:v>0.84</c:v>
                </c:pt>
                <c:pt idx="14">
                  <c:v>0.61428571428571432</c:v>
                </c:pt>
                <c:pt idx="15">
                  <c:v>0.56666666666666665</c:v>
                </c:pt>
                <c:pt idx="16">
                  <c:v>0.78749999999999998</c:v>
                </c:pt>
                <c:pt idx="17">
                  <c:v>0.7</c:v>
                </c:pt>
                <c:pt idx="18">
                  <c:v>0.55000000000000004</c:v>
                </c:pt>
                <c:pt idx="19">
                  <c:v>0.48749999999999999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7B-4476-AF74-4607A2D40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irementMatchTable" displayName="RequirementMatchTable" ref="A1:L21" totalsRowShown="0">
  <tableColumns count="12">
    <tableColumn id="1" xr3:uid="{00000000-0010-0000-0000-000001000000}" name="Requirement ID"/>
    <tableColumn id="2" xr3:uid="{00000000-0010-0000-0000-000002000000}" name="Requirement Title"/>
    <tableColumn id="3" xr3:uid="{00000000-0010-0000-0000-000003000000}" name="Acceptance Criteria / Tests"/>
    <tableColumn id="4" xr3:uid="{00000000-0010-0000-0000-000004000000}" name="Full Match"/>
    <tableColumn id="5" xr3:uid="{00000000-0010-0000-0000-000005000000}" name="Partial Match"/>
    <tableColumn id="6" xr3:uid="{00000000-0010-0000-0000-000006000000}" name="Missing / Contradicted"/>
    <tableColumn id="7" xr3:uid="{00000000-0010-0000-0000-000007000000}" name="Weighted Points"/>
    <tableColumn id="8" xr3:uid="{00000000-0010-0000-0000-000008000000}" name="Match %"/>
    <tableColumn id="9" xr3:uid="{00000000-0010-0000-0000-000009000000}" name="Implementation Stage"/>
    <tableColumn id="10" xr3:uid="{00000000-0010-0000-0000-00000A000000}" name="Confidence"/>
    <tableColumn id="11" xr3:uid="{00000000-0010-0000-0000-00000B000000}" name="Key Gap Summary"/>
    <tableColumn id="12" xr3:uid="{00000000-0010-0000-0000-00000C000000}" name="Gap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apRegisterTable" displayName="GapRegisterTable" ref="A1:L108" totalsRowShown="0">
  <tableColumns count="12">
    <tableColumn id="1" xr3:uid="{00000000-0010-0000-0100-000001000000}" name="Gap ID"/>
    <tableColumn id="2" xr3:uid="{00000000-0010-0000-0100-000002000000}" name="Requirement ID"/>
    <tableColumn id="3" xr3:uid="{00000000-0010-0000-0100-000003000000}" name="Severity"/>
    <tableColumn id="4" xr3:uid="{00000000-0010-0000-0100-000004000000}" name="Category"/>
    <tableColumn id="5" xr3:uid="{00000000-0010-0000-0100-000005000000}" name="Acceptance / Rule"/>
    <tableColumn id="6" xr3:uid="{00000000-0010-0000-0100-000006000000}" name="Gap Description"/>
    <tableColumn id="7" xr3:uid="{00000000-0010-0000-0100-000007000000}" name="Evidence / Reason"/>
    <tableColumn id="8" xr3:uid="{00000000-0010-0000-0100-000008000000}" name="Recommended Fix"/>
    <tableColumn id="9" xr3:uid="{00000000-0010-0000-0100-000009000000}" name="Code Evidence URL"/>
    <tableColumn id="10" xr3:uid="{00000000-0010-0000-0100-00000A000000}" name="Requirements Source"/>
    <tableColumn id="11" xr3:uid="{00000000-0010-0000-0100-00000B000000}" name="Status"/>
    <tableColumn id="12" xr3:uid="{DCDEB6CB-FAAC-4736-ADD7-1007E1B5A87B}" name="Resolution Not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selection sqref="A1:J2"/>
    </sheetView>
  </sheetViews>
  <sheetFormatPr defaultRowHeight="13.8"/>
  <cols>
    <col min="1" max="1" width="16" customWidth="1"/>
    <col min="2" max="2" width="34" customWidth="1"/>
    <col min="3" max="3" width="12" customWidth="1"/>
    <col min="4" max="6" width="19" customWidth="1"/>
    <col min="7" max="10" width="24" customWidth="1"/>
  </cols>
  <sheetData>
    <row r="1" spans="1:26" ht="19.2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" customHeight="1">
      <c r="A2" s="5"/>
      <c r="B2" s="5"/>
      <c r="C2" s="5"/>
      <c r="D2" s="5"/>
      <c r="E2" s="5"/>
      <c r="F2" s="5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1</v>
      </c>
      <c r="B4" s="2" t="s">
        <v>2</v>
      </c>
      <c r="C4" s="3"/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3" t="s">
        <v>10</v>
      </c>
      <c r="B5" s="3">
        <v>20</v>
      </c>
      <c r="C5" s="3"/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3" t="s">
        <v>18</v>
      </c>
      <c r="B6" s="3">
        <v>107</v>
      </c>
      <c r="C6" s="3"/>
      <c r="D6" s="3"/>
      <c r="E6" s="3"/>
      <c r="F6" s="3"/>
      <c r="G6" s="3"/>
      <c r="H6" s="3"/>
      <c r="I6" s="3"/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19</v>
      </c>
      <c r="B7" s="3">
        <f>COUNTIF('Gap Register'!$C$2:$C$500,"Critical")</f>
        <v>11</v>
      </c>
      <c r="C7" s="3"/>
      <c r="D7" s="3"/>
      <c r="E7" s="3"/>
      <c r="F7" s="3"/>
      <c r="G7" s="3"/>
      <c r="H7" s="3"/>
      <c r="I7" s="3"/>
      <c r="J7" s="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3" t="s">
        <v>20</v>
      </c>
      <c r="B8" s="3">
        <f>COUNTIF('Requirement Match'!$H$2:$H$21,"&lt;0.7")</f>
        <v>5</v>
      </c>
      <c r="C8" s="3"/>
      <c r="D8" s="3"/>
      <c r="E8" s="3"/>
      <c r="F8" s="3"/>
      <c r="G8" s="3"/>
      <c r="H8" s="3"/>
      <c r="I8" s="3"/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21</v>
      </c>
      <c r="B9" s="4">
        <f>SUMPRODUCT('Requirement Match'!$C$2:$C$21,'Requirement Match'!$H$2:$H$21)/SUM('Requirement Match'!$C$2:$C$21)</f>
        <v>0.74567723342939485</v>
      </c>
      <c r="C9" s="3"/>
      <c r="D9" s="3"/>
      <c r="E9" s="3"/>
      <c r="F9" s="3"/>
      <c r="G9" s="3"/>
      <c r="H9" s="3"/>
      <c r="I9" s="3"/>
      <c r="J9" s="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2" t="s">
        <v>22</v>
      </c>
      <c r="B12" s="2" t="s">
        <v>23</v>
      </c>
      <c r="C12" s="2" t="s">
        <v>24</v>
      </c>
      <c r="D12" s="2" t="s">
        <v>25</v>
      </c>
      <c r="E12" s="2" t="s">
        <v>26</v>
      </c>
      <c r="F12" s="2" t="s">
        <v>27</v>
      </c>
      <c r="G12" s="3"/>
      <c r="H12" s="3"/>
      <c r="I12" s="3"/>
      <c r="J12" s="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 t="s">
        <v>28</v>
      </c>
      <c r="B13" s="3" t="s">
        <v>29</v>
      </c>
      <c r="C13" s="4">
        <f>'Requirement Match'!H2</f>
        <v>0.85</v>
      </c>
      <c r="D13" s="3" t="s">
        <v>30</v>
      </c>
      <c r="E13" s="3" t="s">
        <v>31</v>
      </c>
      <c r="F13" s="3">
        <f>COUNTIF('Gap Register'!$B$2:$B$500,A13)</f>
        <v>4</v>
      </c>
      <c r="G13" s="3"/>
      <c r="H13" s="3"/>
      <c r="I13" s="3"/>
      <c r="J13" s="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 t="s">
        <v>32</v>
      </c>
      <c r="B14" s="3" t="s">
        <v>33</v>
      </c>
      <c r="C14" s="4">
        <f>'Requirement Match'!H3</f>
        <v>0.9285714285714286</v>
      </c>
      <c r="D14" s="3" t="s">
        <v>30</v>
      </c>
      <c r="E14" s="3" t="s">
        <v>31</v>
      </c>
      <c r="F14" s="3">
        <f>COUNTIF('Gap Register'!$B$2:$B$500,A14)</f>
        <v>3</v>
      </c>
      <c r="G14" s="3"/>
      <c r="H14" s="3"/>
      <c r="I14" s="3"/>
      <c r="J14" s="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 t="s">
        <v>34</v>
      </c>
      <c r="B15" s="3" t="s">
        <v>35</v>
      </c>
      <c r="C15" s="4">
        <f>'Requirement Match'!H4</f>
        <v>0.76666666666666672</v>
      </c>
      <c r="D15" s="3" t="s">
        <v>30</v>
      </c>
      <c r="E15" s="3" t="s">
        <v>31</v>
      </c>
      <c r="F15" s="3">
        <f>COUNTIF('Gap Register'!$B$2:$B$500,A15)</f>
        <v>5</v>
      </c>
      <c r="G15" s="3"/>
      <c r="H15" s="3"/>
      <c r="I15" s="3"/>
      <c r="J15" s="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 t="s">
        <v>36</v>
      </c>
      <c r="B16" s="3" t="s">
        <v>37</v>
      </c>
      <c r="C16" s="4">
        <f>'Requirement Match'!H5</f>
        <v>0.94230769230769229</v>
      </c>
      <c r="D16" s="3" t="s">
        <v>30</v>
      </c>
      <c r="E16" s="3" t="s">
        <v>31</v>
      </c>
      <c r="F16" s="3">
        <f>COUNTIF('Gap Register'!$B$2:$B$500,A16)</f>
        <v>3</v>
      </c>
      <c r="G16" s="3"/>
      <c r="H16" s="3"/>
      <c r="I16" s="3"/>
      <c r="J16" s="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 t="s">
        <v>38</v>
      </c>
      <c r="B17" s="3" t="s">
        <v>39</v>
      </c>
      <c r="C17" s="4">
        <f>'Requirement Match'!H6</f>
        <v>0.96</v>
      </c>
      <c r="D17" s="3" t="s">
        <v>30</v>
      </c>
      <c r="E17" s="3" t="s">
        <v>31</v>
      </c>
      <c r="F17" s="3">
        <f>COUNTIF('Gap Register'!$B$2:$B$500,A17)</f>
        <v>3</v>
      </c>
      <c r="G17" s="3"/>
      <c r="H17" s="3"/>
      <c r="I17" s="3"/>
      <c r="J17" s="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.6">
      <c r="A18" s="3" t="s">
        <v>40</v>
      </c>
      <c r="B18" s="3" t="s">
        <v>41</v>
      </c>
      <c r="C18" s="4">
        <f>'Requirement Match'!H7</f>
        <v>0.77777777777777779</v>
      </c>
      <c r="D18" s="3" t="s">
        <v>42</v>
      </c>
      <c r="E18" s="3" t="s">
        <v>31</v>
      </c>
      <c r="F18" s="3">
        <f>COUNTIF('Gap Register'!$B$2:$B$500,A18)</f>
        <v>7</v>
      </c>
      <c r="G18" s="3"/>
      <c r="H18" s="3"/>
      <c r="I18" s="3"/>
      <c r="J18" s="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 t="s">
        <v>43</v>
      </c>
      <c r="B19" s="3" t="s">
        <v>44</v>
      </c>
      <c r="C19" s="4">
        <f>'Requirement Match'!H8</f>
        <v>0.96666666666666667</v>
      </c>
      <c r="D19" s="3" t="s">
        <v>30</v>
      </c>
      <c r="E19" s="3" t="s">
        <v>31</v>
      </c>
      <c r="F19" s="3">
        <f>COUNTIF('Gap Register'!$B$2:$B$500,A19)</f>
        <v>3</v>
      </c>
      <c r="G19" s="3"/>
      <c r="H19" s="3"/>
      <c r="I19" s="3"/>
      <c r="J19" s="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 t="s">
        <v>45</v>
      </c>
      <c r="B20" s="3" t="s">
        <v>46</v>
      </c>
      <c r="C20" s="4">
        <f>'Requirement Match'!H9</f>
        <v>0.94285714285714284</v>
      </c>
      <c r="D20" s="3" t="s">
        <v>30</v>
      </c>
      <c r="E20" s="3" t="s">
        <v>31</v>
      </c>
      <c r="F20" s="3">
        <f>COUNTIF('Gap Register'!$B$2:$B$500,A20)</f>
        <v>3</v>
      </c>
      <c r="G20" s="3"/>
      <c r="H20" s="3"/>
      <c r="I20" s="3"/>
      <c r="J20" s="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.6">
      <c r="A21" s="3" t="s">
        <v>47</v>
      </c>
      <c r="B21" s="3" t="s">
        <v>48</v>
      </c>
      <c r="C21" s="4">
        <f>'Requirement Match'!H10</f>
        <v>0.5</v>
      </c>
      <c r="D21" s="3" t="s">
        <v>49</v>
      </c>
      <c r="E21" s="3" t="s">
        <v>50</v>
      </c>
      <c r="F21" s="3">
        <f>COUNTIF('Gap Register'!$B$2:$B$500,A21)</f>
        <v>10</v>
      </c>
      <c r="G21" s="3"/>
      <c r="H21" s="3"/>
      <c r="I21" s="3"/>
      <c r="J21" s="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.6">
      <c r="A22" s="3" t="s">
        <v>51</v>
      </c>
      <c r="B22" s="3" t="s">
        <v>52</v>
      </c>
      <c r="C22" s="4">
        <f>'Requirement Match'!H11</f>
        <v>0.8</v>
      </c>
      <c r="D22" s="3" t="s">
        <v>53</v>
      </c>
      <c r="E22" s="3" t="s">
        <v>54</v>
      </c>
      <c r="F22" s="3">
        <f>COUNTIF('Gap Register'!$B$2:$B$500,A22)</f>
        <v>6</v>
      </c>
      <c r="G22" s="3"/>
      <c r="H22" s="3"/>
      <c r="I22" s="3"/>
      <c r="J22" s="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.6">
      <c r="A23" s="3" t="s">
        <v>55</v>
      </c>
      <c r="B23" s="3" t="s">
        <v>56</v>
      </c>
      <c r="C23" s="4">
        <f>'Requirement Match'!H12</f>
        <v>0.72499999999999998</v>
      </c>
      <c r="D23" s="3" t="s">
        <v>57</v>
      </c>
      <c r="E23" s="3" t="s">
        <v>31</v>
      </c>
      <c r="F23" s="3">
        <f>COUNTIF('Gap Register'!$B$2:$B$500,A23)</f>
        <v>6</v>
      </c>
      <c r="G23" s="3"/>
      <c r="H23" s="3"/>
      <c r="I23" s="3"/>
      <c r="J23" s="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.6">
      <c r="A24" s="3" t="s">
        <v>58</v>
      </c>
      <c r="B24" s="3" t="s">
        <v>59</v>
      </c>
      <c r="C24" s="4">
        <f>'Requirement Match'!H13</f>
        <v>0.8</v>
      </c>
      <c r="D24" s="3" t="s">
        <v>60</v>
      </c>
      <c r="E24" s="3" t="s">
        <v>54</v>
      </c>
      <c r="F24" s="3">
        <f>COUNTIF('Gap Register'!$B$2:$B$500,A24)</f>
        <v>6</v>
      </c>
      <c r="G24" s="3"/>
      <c r="H24" s="3"/>
      <c r="I24" s="3"/>
      <c r="J24" s="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.6">
      <c r="A25" s="3" t="s">
        <v>61</v>
      </c>
      <c r="B25" s="3" t="s">
        <v>62</v>
      </c>
      <c r="C25" s="4">
        <f>'Requirement Match'!H14</f>
        <v>0.76666666666666672</v>
      </c>
      <c r="D25" s="3" t="s">
        <v>42</v>
      </c>
      <c r="E25" s="3" t="s">
        <v>54</v>
      </c>
      <c r="F25" s="3">
        <f>COUNTIF('Gap Register'!$B$2:$B$500,A25)</f>
        <v>5</v>
      </c>
      <c r="G25" s="3"/>
      <c r="H25" s="3"/>
      <c r="I25" s="3"/>
      <c r="J25" s="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 t="s">
        <v>63</v>
      </c>
      <c r="B26" s="3" t="s">
        <v>64</v>
      </c>
      <c r="C26" s="4">
        <f>'Requirement Match'!H15</f>
        <v>0.84</v>
      </c>
      <c r="D26" s="3" t="s">
        <v>30</v>
      </c>
      <c r="E26" s="3" t="s">
        <v>31</v>
      </c>
      <c r="F26" s="3">
        <f>COUNTIF('Gap Register'!$B$2:$B$500,A26)</f>
        <v>5</v>
      </c>
      <c r="G26" s="3"/>
      <c r="H26" s="3"/>
      <c r="I26" s="3"/>
      <c r="J26" s="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3" t="s">
        <v>65</v>
      </c>
      <c r="B27" s="3" t="s">
        <v>66</v>
      </c>
      <c r="C27" s="4">
        <f>'Requirement Match'!H16</f>
        <v>0.61428571428571432</v>
      </c>
      <c r="D27" s="3" t="s">
        <v>49</v>
      </c>
      <c r="E27" s="3" t="s">
        <v>31</v>
      </c>
      <c r="F27" s="3">
        <f>COUNTIF('Gap Register'!$B$2:$B$500,A27)</f>
        <v>7</v>
      </c>
      <c r="G27" s="3"/>
      <c r="H27" s="3"/>
      <c r="I27" s="3"/>
      <c r="J27" s="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3" t="s">
        <v>67</v>
      </c>
      <c r="B28" s="3" t="s">
        <v>68</v>
      </c>
      <c r="C28" s="4">
        <f>'Requirement Match'!H17</f>
        <v>0.56666666666666665</v>
      </c>
      <c r="D28" s="3" t="s">
        <v>49</v>
      </c>
      <c r="E28" s="3" t="s">
        <v>31</v>
      </c>
      <c r="F28" s="3">
        <f>COUNTIF('Gap Register'!$B$2:$B$500,A28)</f>
        <v>7</v>
      </c>
      <c r="G28" s="3"/>
      <c r="H28" s="3"/>
      <c r="I28" s="3"/>
      <c r="J28" s="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6">
      <c r="A29" s="3" t="s">
        <v>69</v>
      </c>
      <c r="B29" s="3" t="s">
        <v>70</v>
      </c>
      <c r="C29" s="4">
        <f>'Requirement Match'!H18</f>
        <v>0.78749999999999998</v>
      </c>
      <c r="D29" s="3" t="s">
        <v>71</v>
      </c>
      <c r="E29" s="3" t="s">
        <v>31</v>
      </c>
      <c r="F29" s="3">
        <f>COUNTIF('Gap Register'!$B$2:$B$500,A29)</f>
        <v>5</v>
      </c>
      <c r="G29" s="3"/>
      <c r="H29" s="3"/>
      <c r="I29" s="3"/>
      <c r="J29" s="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" t="s">
        <v>72</v>
      </c>
      <c r="B30" s="3" t="s">
        <v>73</v>
      </c>
      <c r="C30" s="4">
        <f>'Requirement Match'!H19</f>
        <v>0.7</v>
      </c>
      <c r="D30" s="3" t="s">
        <v>49</v>
      </c>
      <c r="E30" s="3" t="s">
        <v>31</v>
      </c>
      <c r="F30" s="3">
        <f>COUNTIF('Gap Register'!$B$2:$B$500,A30)</f>
        <v>5</v>
      </c>
      <c r="G30" s="3"/>
      <c r="H30" s="3"/>
      <c r="I30" s="3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3" t="s">
        <v>74</v>
      </c>
      <c r="B31" s="3" t="s">
        <v>75</v>
      </c>
      <c r="C31" s="4">
        <f>'Requirement Match'!H20</f>
        <v>0.55000000000000004</v>
      </c>
      <c r="D31" s="3" t="s">
        <v>49</v>
      </c>
      <c r="E31" s="3" t="s">
        <v>31</v>
      </c>
      <c r="F31" s="3">
        <f>COUNTIF('Gap Register'!$B$2:$B$500,A31)</f>
        <v>7</v>
      </c>
      <c r="G31" s="3"/>
      <c r="H31" s="3"/>
      <c r="I31" s="3"/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3" t="s">
        <v>76</v>
      </c>
      <c r="B32" s="3" t="s">
        <v>77</v>
      </c>
      <c r="C32" s="4">
        <f>'Requirement Match'!H21</f>
        <v>0.48749999999999999</v>
      </c>
      <c r="D32" s="3" t="s">
        <v>49</v>
      </c>
      <c r="E32" s="3" t="s">
        <v>31</v>
      </c>
      <c r="F32" s="3">
        <f>COUNTIF('Gap Register'!$B$2:$B$500,A32)</f>
        <v>7</v>
      </c>
      <c r="G32" s="3"/>
      <c r="H32" s="3"/>
      <c r="I32" s="3"/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J2"/>
  </mergeCells>
  <conditionalFormatting sqref="C13:C32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/>
  </sheetViews>
  <sheetFormatPr defaultRowHeight="13.8"/>
  <cols>
    <col min="1" max="1" width="14" customWidth="1"/>
    <col min="2" max="2" width="34" customWidth="1"/>
    <col min="3" max="8" width="15" customWidth="1"/>
    <col min="9" max="10" width="22" customWidth="1"/>
    <col min="11" max="11" width="58" customWidth="1"/>
    <col min="12" max="12" width="12" customWidth="1"/>
  </cols>
  <sheetData>
    <row r="1" spans="1:26" ht="26.4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24</v>
      </c>
      <c r="I1" s="2" t="s">
        <v>85</v>
      </c>
      <c r="J1" s="2" t="s">
        <v>26</v>
      </c>
      <c r="K1" s="2" t="s">
        <v>86</v>
      </c>
      <c r="L1" s="2" t="s">
        <v>87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6">
      <c r="A2" s="3" t="s">
        <v>28</v>
      </c>
      <c r="B2" s="3" t="s">
        <v>29</v>
      </c>
      <c r="C2" s="3">
        <v>10</v>
      </c>
      <c r="D2" s="3">
        <v>7</v>
      </c>
      <c r="E2" s="3">
        <v>3</v>
      </c>
      <c r="F2" s="3">
        <v>0</v>
      </c>
      <c r="G2" s="3">
        <f t="shared" ref="G2:G21" si="0">D2+0.5*E2</f>
        <v>8.5</v>
      </c>
      <c r="H2" s="4">
        <f t="shared" ref="H2:H21" si="1">G2/C2</f>
        <v>0.85</v>
      </c>
      <c r="I2" s="3" t="s">
        <v>30</v>
      </c>
      <c r="J2" s="3" t="s">
        <v>31</v>
      </c>
      <c r="K2" s="3" t="s">
        <v>88</v>
      </c>
      <c r="L2" s="3">
        <f>COUNTIF('Gap Register'!$B$2:$B$500,A2)</f>
        <v>4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>
      <c r="A3" s="3" t="s">
        <v>32</v>
      </c>
      <c r="B3" s="3" t="s">
        <v>33</v>
      </c>
      <c r="C3" s="3">
        <v>14</v>
      </c>
      <c r="D3" s="3">
        <v>12</v>
      </c>
      <c r="E3" s="3">
        <v>2</v>
      </c>
      <c r="F3" s="3">
        <v>0</v>
      </c>
      <c r="G3" s="3">
        <f t="shared" si="0"/>
        <v>13</v>
      </c>
      <c r="H3" s="4">
        <f t="shared" si="1"/>
        <v>0.9285714285714286</v>
      </c>
      <c r="I3" s="3" t="s">
        <v>30</v>
      </c>
      <c r="J3" s="3" t="s">
        <v>31</v>
      </c>
      <c r="K3" s="3" t="s">
        <v>89</v>
      </c>
      <c r="L3" s="3">
        <f>COUNTIF('Gap Register'!$B$2:$B$500,A3)</f>
        <v>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3" t="s">
        <v>34</v>
      </c>
      <c r="B4" s="3" t="s">
        <v>35</v>
      </c>
      <c r="C4" s="3">
        <v>15</v>
      </c>
      <c r="D4" s="3">
        <v>10</v>
      </c>
      <c r="E4" s="3">
        <v>3</v>
      </c>
      <c r="F4" s="3">
        <v>2</v>
      </c>
      <c r="G4" s="3">
        <f t="shared" si="0"/>
        <v>11.5</v>
      </c>
      <c r="H4" s="4">
        <f t="shared" si="1"/>
        <v>0.76666666666666672</v>
      </c>
      <c r="I4" s="3" t="s">
        <v>30</v>
      </c>
      <c r="J4" s="3" t="s">
        <v>31</v>
      </c>
      <c r="K4" s="3" t="s">
        <v>90</v>
      </c>
      <c r="L4" s="3">
        <f>COUNTIF('Gap Register'!$B$2:$B$500,A4)</f>
        <v>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3" t="s">
        <v>36</v>
      </c>
      <c r="B5" s="3" t="s">
        <v>37</v>
      </c>
      <c r="C5" s="3">
        <v>26</v>
      </c>
      <c r="D5" s="3">
        <v>23</v>
      </c>
      <c r="E5" s="3">
        <v>3</v>
      </c>
      <c r="F5" s="3">
        <v>0</v>
      </c>
      <c r="G5" s="3">
        <f t="shared" si="0"/>
        <v>24.5</v>
      </c>
      <c r="H5" s="4">
        <f t="shared" si="1"/>
        <v>0.94230769230769229</v>
      </c>
      <c r="I5" s="3" t="s">
        <v>30</v>
      </c>
      <c r="J5" s="3" t="s">
        <v>31</v>
      </c>
      <c r="K5" s="3" t="s">
        <v>91</v>
      </c>
      <c r="L5" s="3">
        <f>COUNTIF('Gap Register'!$B$2:$B$500,A5)</f>
        <v>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3" t="s">
        <v>38</v>
      </c>
      <c r="B6" s="3" t="s">
        <v>39</v>
      </c>
      <c r="C6" s="3">
        <v>25</v>
      </c>
      <c r="D6" s="3">
        <v>23</v>
      </c>
      <c r="E6" s="3">
        <v>2</v>
      </c>
      <c r="F6" s="3">
        <v>0</v>
      </c>
      <c r="G6" s="3">
        <f t="shared" si="0"/>
        <v>24</v>
      </c>
      <c r="H6" s="4">
        <f t="shared" si="1"/>
        <v>0.96</v>
      </c>
      <c r="I6" s="3" t="s">
        <v>30</v>
      </c>
      <c r="J6" s="3" t="s">
        <v>31</v>
      </c>
      <c r="K6" s="3" t="s">
        <v>92</v>
      </c>
      <c r="L6" s="3">
        <f>COUNTIF('Gap Register'!$B$2:$B$500,A6)</f>
        <v>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3" t="s">
        <v>40</v>
      </c>
      <c r="B7" s="3" t="s">
        <v>41</v>
      </c>
      <c r="C7" s="3">
        <v>45</v>
      </c>
      <c r="D7" s="3">
        <v>32</v>
      </c>
      <c r="E7" s="3">
        <v>6</v>
      </c>
      <c r="F7" s="3">
        <v>7</v>
      </c>
      <c r="G7" s="3">
        <f t="shared" si="0"/>
        <v>35</v>
      </c>
      <c r="H7" s="4">
        <f t="shared" si="1"/>
        <v>0.77777777777777779</v>
      </c>
      <c r="I7" s="3" t="s">
        <v>42</v>
      </c>
      <c r="J7" s="3" t="s">
        <v>31</v>
      </c>
      <c r="K7" s="3" t="s">
        <v>93</v>
      </c>
      <c r="L7" s="3">
        <f>COUNTIF('Gap Register'!$B$2:$B$500,A7)</f>
        <v>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3" t="s">
        <v>43</v>
      </c>
      <c r="B8" s="3" t="s">
        <v>44</v>
      </c>
      <c r="C8" s="3">
        <v>30</v>
      </c>
      <c r="D8" s="3">
        <v>28</v>
      </c>
      <c r="E8" s="3">
        <v>2</v>
      </c>
      <c r="F8" s="3">
        <v>0</v>
      </c>
      <c r="G8" s="3">
        <f t="shared" si="0"/>
        <v>29</v>
      </c>
      <c r="H8" s="4">
        <f t="shared" si="1"/>
        <v>0.96666666666666667</v>
      </c>
      <c r="I8" s="3" t="s">
        <v>30</v>
      </c>
      <c r="J8" s="3" t="s">
        <v>31</v>
      </c>
      <c r="K8" s="3" t="s">
        <v>94</v>
      </c>
      <c r="L8" s="3">
        <f>COUNTIF('Gap Register'!$B$2:$B$500,A8)</f>
        <v>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6">
      <c r="A9" s="3" t="s">
        <v>45</v>
      </c>
      <c r="B9" s="3" t="s">
        <v>46</v>
      </c>
      <c r="C9" s="3">
        <v>35</v>
      </c>
      <c r="D9" s="3">
        <v>32</v>
      </c>
      <c r="E9" s="3">
        <v>2</v>
      </c>
      <c r="F9" s="3">
        <v>1</v>
      </c>
      <c r="G9" s="3">
        <f t="shared" si="0"/>
        <v>33</v>
      </c>
      <c r="H9" s="4">
        <f t="shared" si="1"/>
        <v>0.94285714285714284</v>
      </c>
      <c r="I9" s="3" t="s">
        <v>30</v>
      </c>
      <c r="J9" s="3" t="s">
        <v>31</v>
      </c>
      <c r="K9" s="3" t="s">
        <v>95</v>
      </c>
      <c r="L9" s="3">
        <f>COUNTIF('Gap Register'!$B$2:$B$500,A9)</f>
        <v>3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1.4">
      <c r="A10" s="3" t="s">
        <v>47</v>
      </c>
      <c r="B10" s="3" t="s">
        <v>48</v>
      </c>
      <c r="C10" s="3">
        <v>44</v>
      </c>
      <c r="D10" s="3">
        <v>17</v>
      </c>
      <c r="E10" s="3">
        <v>10</v>
      </c>
      <c r="F10" s="3">
        <v>17</v>
      </c>
      <c r="G10" s="3">
        <f t="shared" si="0"/>
        <v>22</v>
      </c>
      <c r="H10" s="4">
        <f t="shared" si="1"/>
        <v>0.5</v>
      </c>
      <c r="I10" s="3" t="s">
        <v>49</v>
      </c>
      <c r="J10" s="3" t="s">
        <v>50</v>
      </c>
      <c r="K10" s="3" t="s">
        <v>96</v>
      </c>
      <c r="L10" s="3">
        <f>COUNTIF('Gap Register'!$B$2:$B$500,A10)</f>
        <v>10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1.4">
      <c r="A11" s="3" t="s">
        <v>51</v>
      </c>
      <c r="B11" s="3" t="s">
        <v>52</v>
      </c>
      <c r="C11" s="3">
        <v>40</v>
      </c>
      <c r="D11" s="3">
        <v>29</v>
      </c>
      <c r="E11" s="3">
        <v>6</v>
      </c>
      <c r="F11" s="3">
        <v>5</v>
      </c>
      <c r="G11" s="3">
        <f t="shared" si="0"/>
        <v>32</v>
      </c>
      <c r="H11" s="4">
        <f t="shared" si="1"/>
        <v>0.8</v>
      </c>
      <c r="I11" s="3" t="s">
        <v>53</v>
      </c>
      <c r="J11" s="3" t="s">
        <v>54</v>
      </c>
      <c r="K11" s="3" t="s">
        <v>97</v>
      </c>
      <c r="L11" s="3">
        <f>COUNTIF('Gap Register'!$B$2:$B$500,A11)</f>
        <v>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1.4">
      <c r="A12" s="3" t="s">
        <v>55</v>
      </c>
      <c r="B12" s="3" t="s">
        <v>56</v>
      </c>
      <c r="C12" s="3">
        <v>40</v>
      </c>
      <c r="D12" s="3">
        <v>25</v>
      </c>
      <c r="E12" s="3">
        <v>8</v>
      </c>
      <c r="F12" s="3">
        <v>7</v>
      </c>
      <c r="G12" s="3">
        <f t="shared" si="0"/>
        <v>29</v>
      </c>
      <c r="H12" s="4">
        <f t="shared" si="1"/>
        <v>0.72499999999999998</v>
      </c>
      <c r="I12" s="3" t="s">
        <v>57</v>
      </c>
      <c r="J12" s="3" t="s">
        <v>31</v>
      </c>
      <c r="K12" s="3" t="s">
        <v>98</v>
      </c>
      <c r="L12" s="3">
        <f>COUNTIF('Gap Register'!$B$2:$B$500,A12)</f>
        <v>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6">
      <c r="A13" s="3" t="s">
        <v>58</v>
      </c>
      <c r="B13" s="3" t="s">
        <v>59</v>
      </c>
      <c r="C13" s="3">
        <v>40</v>
      </c>
      <c r="D13" s="3">
        <v>29</v>
      </c>
      <c r="E13" s="3">
        <v>6</v>
      </c>
      <c r="F13" s="3">
        <v>5</v>
      </c>
      <c r="G13" s="3">
        <f t="shared" si="0"/>
        <v>32</v>
      </c>
      <c r="H13" s="4">
        <f t="shared" si="1"/>
        <v>0.8</v>
      </c>
      <c r="I13" s="3" t="s">
        <v>60</v>
      </c>
      <c r="J13" s="3" t="s">
        <v>54</v>
      </c>
      <c r="K13" s="3" t="s">
        <v>99</v>
      </c>
      <c r="L13" s="3">
        <f>COUNTIF('Gap Register'!$B$2:$B$500,A13)</f>
        <v>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6">
      <c r="A14" s="3" t="s">
        <v>61</v>
      </c>
      <c r="B14" s="3" t="s">
        <v>62</v>
      </c>
      <c r="C14" s="3">
        <v>60</v>
      </c>
      <c r="D14" s="3">
        <v>42</v>
      </c>
      <c r="E14" s="3">
        <v>8</v>
      </c>
      <c r="F14" s="3">
        <v>10</v>
      </c>
      <c r="G14" s="3">
        <f t="shared" si="0"/>
        <v>46</v>
      </c>
      <c r="H14" s="4">
        <f t="shared" si="1"/>
        <v>0.76666666666666672</v>
      </c>
      <c r="I14" s="3" t="s">
        <v>42</v>
      </c>
      <c r="J14" s="3" t="s">
        <v>54</v>
      </c>
      <c r="K14" s="3" t="s">
        <v>100</v>
      </c>
      <c r="L14" s="3">
        <f>COUNTIF('Gap Register'!$B$2:$B$500,A14)</f>
        <v>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6">
      <c r="A15" s="3" t="s">
        <v>63</v>
      </c>
      <c r="B15" s="3" t="s">
        <v>64</v>
      </c>
      <c r="C15" s="3">
        <v>50</v>
      </c>
      <c r="D15" s="3">
        <v>39</v>
      </c>
      <c r="E15" s="3">
        <v>6</v>
      </c>
      <c r="F15" s="3">
        <v>5</v>
      </c>
      <c r="G15" s="3">
        <f t="shared" si="0"/>
        <v>42</v>
      </c>
      <c r="H15" s="4">
        <f t="shared" si="1"/>
        <v>0.84</v>
      </c>
      <c r="I15" s="3" t="s">
        <v>30</v>
      </c>
      <c r="J15" s="3" t="s">
        <v>31</v>
      </c>
      <c r="K15" s="3" t="s">
        <v>101</v>
      </c>
      <c r="L15" s="3">
        <f>COUNTIF('Gap Register'!$B$2:$B$500,A15)</f>
        <v>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1.4">
      <c r="A16" s="3" t="s">
        <v>65</v>
      </c>
      <c r="B16" s="3" t="s">
        <v>66</v>
      </c>
      <c r="C16" s="3">
        <v>35</v>
      </c>
      <c r="D16" s="3">
        <v>18</v>
      </c>
      <c r="E16" s="3">
        <v>7</v>
      </c>
      <c r="F16" s="3">
        <v>10</v>
      </c>
      <c r="G16" s="3">
        <f t="shared" si="0"/>
        <v>21.5</v>
      </c>
      <c r="H16" s="4">
        <f t="shared" si="1"/>
        <v>0.61428571428571432</v>
      </c>
      <c r="I16" s="3" t="s">
        <v>49</v>
      </c>
      <c r="J16" s="3" t="s">
        <v>31</v>
      </c>
      <c r="K16" s="3" t="s">
        <v>102</v>
      </c>
      <c r="L16" s="3">
        <f>COUNTIF('Gap Register'!$B$2:$B$500,A16)</f>
        <v>7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1.4">
      <c r="A17" s="3" t="s">
        <v>67</v>
      </c>
      <c r="B17" s="3" t="s">
        <v>68</v>
      </c>
      <c r="C17" s="3">
        <v>30</v>
      </c>
      <c r="D17" s="3">
        <v>14</v>
      </c>
      <c r="E17" s="3">
        <v>6</v>
      </c>
      <c r="F17" s="3">
        <v>10</v>
      </c>
      <c r="G17" s="3">
        <f t="shared" si="0"/>
        <v>17</v>
      </c>
      <c r="H17" s="4">
        <f t="shared" si="1"/>
        <v>0.56666666666666665</v>
      </c>
      <c r="I17" s="3" t="s">
        <v>49</v>
      </c>
      <c r="J17" s="3" t="s">
        <v>31</v>
      </c>
      <c r="K17" s="3" t="s">
        <v>103</v>
      </c>
      <c r="L17" s="3">
        <f>COUNTIF('Gap Register'!$B$2:$B$500,A17)</f>
        <v>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.6">
      <c r="A18" s="3" t="s">
        <v>69</v>
      </c>
      <c r="B18" s="3" t="s">
        <v>70</v>
      </c>
      <c r="C18" s="3">
        <v>40</v>
      </c>
      <c r="D18" s="3">
        <v>29</v>
      </c>
      <c r="E18" s="3">
        <v>5</v>
      </c>
      <c r="F18" s="3">
        <v>6</v>
      </c>
      <c r="G18" s="3">
        <f t="shared" si="0"/>
        <v>31.5</v>
      </c>
      <c r="H18" s="4">
        <f t="shared" si="1"/>
        <v>0.78749999999999998</v>
      </c>
      <c r="I18" s="3" t="s">
        <v>71</v>
      </c>
      <c r="J18" s="3" t="s">
        <v>31</v>
      </c>
      <c r="K18" s="3" t="s">
        <v>104</v>
      </c>
      <c r="L18" s="3">
        <f>COUNTIF('Gap Register'!$B$2:$B$500,A18)</f>
        <v>5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1.4">
      <c r="A19" s="3" t="s">
        <v>72</v>
      </c>
      <c r="B19" s="3" t="s">
        <v>73</v>
      </c>
      <c r="C19" s="3">
        <v>35</v>
      </c>
      <c r="D19" s="3">
        <v>22</v>
      </c>
      <c r="E19" s="3">
        <v>5</v>
      </c>
      <c r="F19" s="3">
        <v>8</v>
      </c>
      <c r="G19" s="3">
        <f t="shared" si="0"/>
        <v>24.5</v>
      </c>
      <c r="H19" s="4">
        <f t="shared" si="1"/>
        <v>0.7</v>
      </c>
      <c r="I19" s="3" t="s">
        <v>49</v>
      </c>
      <c r="J19" s="3" t="s">
        <v>31</v>
      </c>
      <c r="K19" s="3" t="s">
        <v>105</v>
      </c>
      <c r="L19" s="3">
        <f>COUNTIF('Gap Register'!$B$2:$B$500,A19)</f>
        <v>5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1.4">
      <c r="A20" s="3" t="s">
        <v>74</v>
      </c>
      <c r="B20" s="3" t="s">
        <v>75</v>
      </c>
      <c r="C20" s="3">
        <v>40</v>
      </c>
      <c r="D20" s="3">
        <v>18</v>
      </c>
      <c r="E20" s="3">
        <v>8</v>
      </c>
      <c r="F20" s="3">
        <v>14</v>
      </c>
      <c r="G20" s="3">
        <f t="shared" si="0"/>
        <v>22</v>
      </c>
      <c r="H20" s="4">
        <f t="shared" si="1"/>
        <v>0.55000000000000004</v>
      </c>
      <c r="I20" s="3" t="s">
        <v>49</v>
      </c>
      <c r="J20" s="3" t="s">
        <v>31</v>
      </c>
      <c r="K20" s="3" t="s">
        <v>106</v>
      </c>
      <c r="L20" s="3">
        <f>COUNTIF('Gap Register'!$B$2:$B$500,A20)</f>
        <v>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1.4">
      <c r="A21" s="3" t="s">
        <v>76</v>
      </c>
      <c r="B21" s="3" t="s">
        <v>77</v>
      </c>
      <c r="C21" s="3">
        <v>40</v>
      </c>
      <c r="D21" s="3">
        <v>16</v>
      </c>
      <c r="E21" s="3">
        <v>7</v>
      </c>
      <c r="F21" s="3">
        <v>17</v>
      </c>
      <c r="G21" s="3">
        <f t="shared" si="0"/>
        <v>19.5</v>
      </c>
      <c r="H21" s="4">
        <f t="shared" si="1"/>
        <v>0.48749999999999999</v>
      </c>
      <c r="I21" s="3" t="s">
        <v>49</v>
      </c>
      <c r="J21" s="3" t="s">
        <v>31</v>
      </c>
      <c r="K21" s="3" t="s">
        <v>107</v>
      </c>
      <c r="L21" s="3">
        <f>COUNTIF('Gap Register'!$B$2:$B$500,A21)</f>
        <v>7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conditionalFormatting sqref="H2:H2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3.8"/>
  <cols>
    <col min="1" max="1" width="12" customWidth="1"/>
    <col min="2" max="2" width="14" customWidth="1"/>
    <col min="3" max="3" width="12" customWidth="1"/>
    <col min="4" max="5" width="22" customWidth="1"/>
    <col min="6" max="8" width="46" customWidth="1"/>
    <col min="9" max="9" width="55" customWidth="1"/>
    <col min="10" max="10" width="34" customWidth="1"/>
    <col min="11" max="11" width="14" customWidth="1"/>
  </cols>
  <sheetData>
    <row r="1" spans="1:26">
      <c r="A1" s="2" t="s">
        <v>108</v>
      </c>
      <c r="B1" s="2" t="s">
        <v>78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117</v>
      </c>
      <c r="L1" s="1" t="s">
        <v>814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1.4">
      <c r="A2" s="3" t="s">
        <v>118</v>
      </c>
      <c r="B2" s="3" t="s">
        <v>28</v>
      </c>
      <c r="C2" s="3" t="s">
        <v>31</v>
      </c>
      <c r="D2" s="3" t="s">
        <v>119</v>
      </c>
      <c r="E2" s="3" t="s">
        <v>120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15</v>
      </c>
      <c r="K2" s="3" t="s">
        <v>832</v>
      </c>
      <c r="L2" s="1" t="s">
        <v>881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1.4">
      <c r="A3" s="3" t="s">
        <v>125</v>
      </c>
      <c r="B3" s="3" t="s">
        <v>28</v>
      </c>
      <c r="C3" s="3" t="s">
        <v>50</v>
      </c>
      <c r="D3" s="3" t="s">
        <v>126</v>
      </c>
      <c r="E3" s="3" t="s">
        <v>127</v>
      </c>
      <c r="F3" s="3" t="s">
        <v>128</v>
      </c>
      <c r="G3" s="3" t="s">
        <v>129</v>
      </c>
      <c r="H3" s="3" t="s">
        <v>130</v>
      </c>
      <c r="I3" s="3" t="s">
        <v>131</v>
      </c>
      <c r="J3" s="3" t="s">
        <v>15</v>
      </c>
      <c r="K3" s="3" t="s">
        <v>832</v>
      </c>
      <c r="L3" s="1" t="s">
        <v>882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3" t="s">
        <v>132</v>
      </c>
      <c r="B4" s="3" t="s">
        <v>28</v>
      </c>
      <c r="C4" s="3" t="s">
        <v>50</v>
      </c>
      <c r="D4" s="3" t="s">
        <v>133</v>
      </c>
      <c r="E4" s="3" t="s">
        <v>134</v>
      </c>
      <c r="F4" s="3" t="s">
        <v>135</v>
      </c>
      <c r="G4" s="3" t="s">
        <v>136</v>
      </c>
      <c r="H4" s="3" t="s">
        <v>137</v>
      </c>
      <c r="I4" s="3" t="s">
        <v>124</v>
      </c>
      <c r="J4" s="3" t="s">
        <v>15</v>
      </c>
      <c r="K4" s="3" t="s">
        <v>832</v>
      </c>
      <c r="L4" s="1" t="s">
        <v>880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3" t="s">
        <v>138</v>
      </c>
      <c r="B5" s="3" t="s">
        <v>28</v>
      </c>
      <c r="C5" s="3" t="s">
        <v>50</v>
      </c>
      <c r="D5" s="3" t="s">
        <v>139</v>
      </c>
      <c r="E5" s="3" t="s">
        <v>140</v>
      </c>
      <c r="F5" s="3" t="s">
        <v>141</v>
      </c>
      <c r="G5" s="3" t="s">
        <v>142</v>
      </c>
      <c r="H5" s="3" t="s">
        <v>143</v>
      </c>
      <c r="I5" s="3" t="s">
        <v>124</v>
      </c>
      <c r="J5" s="3" t="s">
        <v>15</v>
      </c>
      <c r="K5" s="3" t="s">
        <v>832</v>
      </c>
      <c r="L5" s="1" t="s">
        <v>879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3" t="s">
        <v>144</v>
      </c>
      <c r="B6" s="3" t="s">
        <v>32</v>
      </c>
      <c r="C6" s="3" t="s">
        <v>50</v>
      </c>
      <c r="D6" s="3" t="s">
        <v>119</v>
      </c>
      <c r="E6" s="3" t="s">
        <v>145</v>
      </c>
      <c r="F6" s="3" t="s">
        <v>146</v>
      </c>
      <c r="G6" s="3" t="s">
        <v>147</v>
      </c>
      <c r="H6" s="3" t="s">
        <v>148</v>
      </c>
      <c r="I6" s="3" t="s">
        <v>124</v>
      </c>
      <c r="J6" s="3" t="s">
        <v>15</v>
      </c>
      <c r="K6" s="3" t="s">
        <v>832</v>
      </c>
      <c r="L6" s="1" t="s">
        <v>878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1.4">
      <c r="A7" s="3" t="s">
        <v>149</v>
      </c>
      <c r="B7" s="3" t="s">
        <v>32</v>
      </c>
      <c r="C7" s="3" t="s">
        <v>150</v>
      </c>
      <c r="D7" s="3" t="s">
        <v>151</v>
      </c>
      <c r="E7" s="3" t="s">
        <v>152</v>
      </c>
      <c r="F7" s="3" t="s">
        <v>153</v>
      </c>
      <c r="G7" s="3" t="s">
        <v>154</v>
      </c>
      <c r="H7" s="3" t="s">
        <v>155</v>
      </c>
      <c r="I7" s="3" t="s">
        <v>124</v>
      </c>
      <c r="J7" s="3" t="s">
        <v>15</v>
      </c>
      <c r="K7" s="3" t="s">
        <v>832</v>
      </c>
      <c r="L7" s="1" t="s">
        <v>877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3" t="s">
        <v>156</v>
      </c>
      <c r="B8" s="3" t="s">
        <v>32</v>
      </c>
      <c r="C8" s="3" t="s">
        <v>50</v>
      </c>
      <c r="D8" s="3" t="s">
        <v>157</v>
      </c>
      <c r="E8" s="3" t="s">
        <v>158</v>
      </c>
      <c r="F8" s="3" t="s">
        <v>159</v>
      </c>
      <c r="G8" s="3" t="s">
        <v>160</v>
      </c>
      <c r="H8" s="3" t="s">
        <v>161</v>
      </c>
      <c r="I8" s="3" t="s">
        <v>124</v>
      </c>
      <c r="J8" s="3" t="s">
        <v>15</v>
      </c>
      <c r="K8" s="3" t="s">
        <v>832</v>
      </c>
      <c r="L8" s="1" t="s">
        <v>876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1.4">
      <c r="A9" s="3" t="s">
        <v>162</v>
      </c>
      <c r="B9" s="3" t="s">
        <v>34</v>
      </c>
      <c r="C9" s="3" t="s">
        <v>163</v>
      </c>
      <c r="D9" s="3" t="s">
        <v>164</v>
      </c>
      <c r="E9" s="3" t="s">
        <v>165</v>
      </c>
      <c r="F9" s="3" t="s">
        <v>166</v>
      </c>
      <c r="G9" s="3" t="s">
        <v>167</v>
      </c>
      <c r="H9" s="3" t="s">
        <v>168</v>
      </c>
      <c r="I9" s="3" t="s">
        <v>169</v>
      </c>
      <c r="J9" s="3" t="s">
        <v>15</v>
      </c>
      <c r="K9" s="3" t="s">
        <v>815</v>
      </c>
      <c r="L9" s="1" t="s">
        <v>825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6">
      <c r="A10" s="3" t="s">
        <v>170</v>
      </c>
      <c r="B10" s="3" t="s">
        <v>34</v>
      </c>
      <c r="C10" s="3" t="s">
        <v>31</v>
      </c>
      <c r="D10" s="3" t="s">
        <v>171</v>
      </c>
      <c r="E10" s="3" t="s">
        <v>172</v>
      </c>
      <c r="F10" s="3" t="s">
        <v>173</v>
      </c>
      <c r="G10" s="3" t="s">
        <v>174</v>
      </c>
      <c r="H10" s="3" t="s">
        <v>175</v>
      </c>
      <c r="I10" s="3" t="s">
        <v>169</v>
      </c>
      <c r="J10" s="3" t="s">
        <v>15</v>
      </c>
      <c r="K10" s="3" t="s">
        <v>832</v>
      </c>
      <c r="L10" s="1" t="s">
        <v>874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5.2">
      <c r="A11" s="3" t="s">
        <v>176</v>
      </c>
      <c r="B11" s="3" t="s">
        <v>34</v>
      </c>
      <c r="C11" s="3" t="s">
        <v>31</v>
      </c>
      <c r="D11" s="3" t="s">
        <v>177</v>
      </c>
      <c r="E11" s="3" t="s">
        <v>178</v>
      </c>
      <c r="F11" s="3" t="s">
        <v>179</v>
      </c>
      <c r="G11" s="3" t="s">
        <v>180</v>
      </c>
      <c r="H11" s="3" t="s">
        <v>181</v>
      </c>
      <c r="I11" s="3" t="s">
        <v>169</v>
      </c>
      <c r="J11" s="3" t="s">
        <v>15</v>
      </c>
      <c r="K11" s="3" t="s">
        <v>815</v>
      </c>
      <c r="L11" s="1" t="s">
        <v>823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6">
      <c r="A12" s="3" t="s">
        <v>182</v>
      </c>
      <c r="B12" s="3" t="s">
        <v>34</v>
      </c>
      <c r="C12" s="3" t="s">
        <v>50</v>
      </c>
      <c r="D12" s="3" t="s">
        <v>183</v>
      </c>
      <c r="E12" s="3" t="s">
        <v>184</v>
      </c>
      <c r="F12" s="3" t="s">
        <v>185</v>
      </c>
      <c r="G12" s="3" t="s">
        <v>186</v>
      </c>
      <c r="H12" s="3" t="s">
        <v>187</v>
      </c>
      <c r="I12" s="3" t="s">
        <v>169</v>
      </c>
      <c r="J12" s="3" t="s">
        <v>15</v>
      </c>
      <c r="K12" s="3" t="s">
        <v>815</v>
      </c>
      <c r="L12" s="1" t="s">
        <v>822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6">
      <c r="A13" s="3" t="s">
        <v>188</v>
      </c>
      <c r="B13" s="3" t="s">
        <v>34</v>
      </c>
      <c r="C13" s="3" t="s">
        <v>50</v>
      </c>
      <c r="D13" s="3" t="s">
        <v>189</v>
      </c>
      <c r="E13" s="3" t="s">
        <v>190</v>
      </c>
      <c r="F13" s="3" t="s">
        <v>191</v>
      </c>
      <c r="G13" s="3" t="s">
        <v>192</v>
      </c>
      <c r="H13" s="3" t="s">
        <v>193</v>
      </c>
      <c r="I13" s="3" t="s">
        <v>169</v>
      </c>
      <c r="J13" s="3" t="s">
        <v>15</v>
      </c>
      <c r="K13" s="3" t="s">
        <v>832</v>
      </c>
      <c r="L13" s="1" t="s">
        <v>872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6">
      <c r="A14" s="3" t="s">
        <v>194</v>
      </c>
      <c r="B14" s="3" t="s">
        <v>36</v>
      </c>
      <c r="C14" s="3" t="s">
        <v>50</v>
      </c>
      <c r="D14" s="3" t="s">
        <v>195</v>
      </c>
      <c r="E14" s="3" t="s">
        <v>196</v>
      </c>
      <c r="F14" s="3" t="s">
        <v>197</v>
      </c>
      <c r="G14" s="3" t="s">
        <v>198</v>
      </c>
      <c r="H14" s="3" t="s">
        <v>199</v>
      </c>
      <c r="I14" s="3" t="s">
        <v>200</v>
      </c>
      <c r="J14" s="3" t="s">
        <v>15</v>
      </c>
      <c r="K14" s="3" t="s">
        <v>832</v>
      </c>
      <c r="L14" s="1" t="s">
        <v>871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1.4">
      <c r="A15" s="3" t="s">
        <v>201</v>
      </c>
      <c r="B15" s="3" t="s">
        <v>36</v>
      </c>
      <c r="C15" s="3" t="s">
        <v>50</v>
      </c>
      <c r="D15" s="3" t="s">
        <v>202</v>
      </c>
      <c r="E15" s="3" t="s">
        <v>203</v>
      </c>
      <c r="F15" s="3" t="s">
        <v>204</v>
      </c>
      <c r="G15" s="3" t="s">
        <v>205</v>
      </c>
      <c r="H15" s="3" t="s">
        <v>206</v>
      </c>
      <c r="I15" s="3" t="s">
        <v>207</v>
      </c>
      <c r="J15" s="3" t="s">
        <v>15</v>
      </c>
      <c r="K15" s="3" t="s">
        <v>815</v>
      </c>
      <c r="L15" s="1" t="s">
        <v>883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1.4">
      <c r="A16" s="3" t="s">
        <v>208</v>
      </c>
      <c r="B16" s="3" t="s">
        <v>36</v>
      </c>
      <c r="C16" s="3" t="s">
        <v>150</v>
      </c>
      <c r="D16" s="3" t="s">
        <v>209</v>
      </c>
      <c r="E16" s="3" t="s">
        <v>210</v>
      </c>
      <c r="F16" s="3" t="s">
        <v>211</v>
      </c>
      <c r="G16" s="3" t="s">
        <v>212</v>
      </c>
      <c r="H16" s="3" t="s">
        <v>213</v>
      </c>
      <c r="I16" s="3" t="s">
        <v>124</v>
      </c>
      <c r="J16" s="3" t="s">
        <v>15</v>
      </c>
      <c r="K16" s="3" t="s">
        <v>832</v>
      </c>
      <c r="L16" s="1" t="s">
        <v>869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.6">
      <c r="A17" s="3" t="s">
        <v>214</v>
      </c>
      <c r="B17" s="3" t="s">
        <v>38</v>
      </c>
      <c r="C17" s="3" t="s">
        <v>50</v>
      </c>
      <c r="D17" s="3" t="s">
        <v>195</v>
      </c>
      <c r="E17" s="3" t="s">
        <v>215</v>
      </c>
      <c r="F17" s="3" t="s">
        <v>216</v>
      </c>
      <c r="G17" s="3" t="s">
        <v>217</v>
      </c>
      <c r="H17" s="3" t="s">
        <v>218</v>
      </c>
      <c r="I17" s="3" t="s">
        <v>219</v>
      </c>
      <c r="J17" s="3" t="s">
        <v>15</v>
      </c>
      <c r="K17" s="3" t="s">
        <v>832</v>
      </c>
      <c r="L17" s="1" t="s">
        <v>868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1.4">
      <c r="A18" s="3" t="s">
        <v>220</v>
      </c>
      <c r="B18" s="3" t="s">
        <v>38</v>
      </c>
      <c r="C18" s="3" t="s">
        <v>50</v>
      </c>
      <c r="D18" s="3" t="s">
        <v>151</v>
      </c>
      <c r="E18" s="3" t="s">
        <v>221</v>
      </c>
      <c r="F18" s="3" t="s">
        <v>222</v>
      </c>
      <c r="G18" s="3" t="s">
        <v>223</v>
      </c>
      <c r="H18" s="3" t="s">
        <v>224</v>
      </c>
      <c r="I18" s="3" t="s">
        <v>219</v>
      </c>
      <c r="J18" s="3" t="s">
        <v>15</v>
      </c>
      <c r="K18" s="3" t="s">
        <v>832</v>
      </c>
      <c r="L18" s="1" t="s">
        <v>867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1.4">
      <c r="A19" s="3" t="s">
        <v>225</v>
      </c>
      <c r="B19" s="3" t="s">
        <v>38</v>
      </c>
      <c r="C19" s="3" t="s">
        <v>150</v>
      </c>
      <c r="D19" s="3" t="s">
        <v>226</v>
      </c>
      <c r="E19" s="3" t="s">
        <v>227</v>
      </c>
      <c r="F19" s="3" t="s">
        <v>228</v>
      </c>
      <c r="G19" s="3" t="s">
        <v>229</v>
      </c>
      <c r="H19" s="3" t="s">
        <v>230</v>
      </c>
      <c r="I19" s="3" t="s">
        <v>219</v>
      </c>
      <c r="J19" s="3" t="s">
        <v>15</v>
      </c>
      <c r="K19" s="3" t="s">
        <v>815</v>
      </c>
      <c r="L19" s="1" t="s">
        <v>884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.6">
      <c r="A20" s="3" t="s">
        <v>231</v>
      </c>
      <c r="B20" s="3" t="s">
        <v>40</v>
      </c>
      <c r="C20" s="3" t="s">
        <v>163</v>
      </c>
      <c r="D20" s="3" t="s">
        <v>232</v>
      </c>
      <c r="E20" s="3" t="s">
        <v>233</v>
      </c>
      <c r="F20" s="3" t="s">
        <v>234</v>
      </c>
      <c r="G20" s="3" t="s">
        <v>235</v>
      </c>
      <c r="H20" s="3" t="s">
        <v>236</v>
      </c>
      <c r="I20" s="3" t="s">
        <v>237</v>
      </c>
      <c r="J20" s="3" t="s">
        <v>15</v>
      </c>
      <c r="K20" s="3" t="s">
        <v>815</v>
      </c>
      <c r="L20" s="1" t="s">
        <v>818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.6">
      <c r="A21" s="3" t="s">
        <v>238</v>
      </c>
      <c r="B21" s="3" t="s">
        <v>40</v>
      </c>
      <c r="C21" s="3" t="s">
        <v>31</v>
      </c>
      <c r="D21" s="3" t="s">
        <v>239</v>
      </c>
      <c r="E21" s="3" t="s">
        <v>240</v>
      </c>
      <c r="F21" s="3" t="s">
        <v>241</v>
      </c>
      <c r="G21" s="3" t="s">
        <v>242</v>
      </c>
      <c r="H21" s="3" t="s">
        <v>243</v>
      </c>
      <c r="I21" s="3" t="s">
        <v>124</v>
      </c>
      <c r="J21" s="3" t="s">
        <v>15</v>
      </c>
      <c r="K21" s="3" t="s">
        <v>815</v>
      </c>
      <c r="L21" s="1" t="s">
        <v>885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.6">
      <c r="A22" s="3" t="s">
        <v>244</v>
      </c>
      <c r="B22" s="3" t="s">
        <v>40</v>
      </c>
      <c r="C22" s="3" t="s">
        <v>31</v>
      </c>
      <c r="D22" s="3" t="s">
        <v>245</v>
      </c>
      <c r="E22" s="3" t="s">
        <v>246</v>
      </c>
      <c r="F22" s="3" t="s">
        <v>247</v>
      </c>
      <c r="G22" s="3" t="s">
        <v>248</v>
      </c>
      <c r="H22" s="3" t="s">
        <v>249</v>
      </c>
      <c r="I22" s="3" t="s">
        <v>124</v>
      </c>
      <c r="J22" s="3" t="s">
        <v>15</v>
      </c>
      <c r="K22" s="3" t="s">
        <v>815</v>
      </c>
      <c r="L22" s="1" t="s">
        <v>886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.6">
      <c r="A23" s="3" t="s">
        <v>250</v>
      </c>
      <c r="B23" s="3" t="s">
        <v>40</v>
      </c>
      <c r="C23" s="3" t="s">
        <v>31</v>
      </c>
      <c r="D23" s="3" t="s">
        <v>251</v>
      </c>
      <c r="E23" s="3" t="s">
        <v>252</v>
      </c>
      <c r="F23" s="3" t="s">
        <v>253</v>
      </c>
      <c r="G23" s="3" t="s">
        <v>254</v>
      </c>
      <c r="H23" s="3" t="s">
        <v>255</v>
      </c>
      <c r="I23" s="3" t="s">
        <v>124</v>
      </c>
      <c r="J23" s="3" t="s">
        <v>15</v>
      </c>
      <c r="K23" s="3" t="s">
        <v>815</v>
      </c>
      <c r="L23" s="1" t="s">
        <v>887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.6">
      <c r="A24" s="3" t="s">
        <v>256</v>
      </c>
      <c r="B24" s="3" t="s">
        <v>40</v>
      </c>
      <c r="C24" s="3" t="s">
        <v>31</v>
      </c>
      <c r="D24" s="3" t="s">
        <v>257</v>
      </c>
      <c r="E24" s="3" t="s">
        <v>258</v>
      </c>
      <c r="F24" s="3" t="s">
        <v>259</v>
      </c>
      <c r="G24" s="3" t="s">
        <v>260</v>
      </c>
      <c r="H24" s="3" t="s">
        <v>261</v>
      </c>
      <c r="I24" s="3" t="s">
        <v>207</v>
      </c>
      <c r="J24" s="3" t="s">
        <v>15</v>
      </c>
      <c r="K24" s="3" t="s">
        <v>815</v>
      </c>
      <c r="L24" s="1" t="s">
        <v>888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.6">
      <c r="A25" s="3" t="s">
        <v>262</v>
      </c>
      <c r="B25" s="3" t="s">
        <v>40</v>
      </c>
      <c r="C25" s="3" t="s">
        <v>50</v>
      </c>
      <c r="D25" s="3" t="s">
        <v>263</v>
      </c>
      <c r="E25" s="3" t="s">
        <v>264</v>
      </c>
      <c r="F25" s="3" t="s">
        <v>265</v>
      </c>
      <c r="G25" s="3" t="s">
        <v>266</v>
      </c>
      <c r="H25" s="3" t="s">
        <v>267</v>
      </c>
      <c r="I25" s="3" t="s">
        <v>124</v>
      </c>
      <c r="J25" s="3" t="s">
        <v>15</v>
      </c>
      <c r="K25" s="3" t="s">
        <v>832</v>
      </c>
      <c r="L25" s="1" t="s">
        <v>865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.6">
      <c r="A26" s="3" t="s">
        <v>268</v>
      </c>
      <c r="B26" s="3" t="s">
        <v>40</v>
      </c>
      <c r="C26" s="3" t="s">
        <v>50</v>
      </c>
      <c r="D26" s="3" t="s">
        <v>269</v>
      </c>
      <c r="E26" s="3" t="s">
        <v>270</v>
      </c>
      <c r="F26" s="3" t="s">
        <v>271</v>
      </c>
      <c r="G26" s="3" t="s">
        <v>272</v>
      </c>
      <c r="H26" s="3" t="s">
        <v>273</v>
      </c>
      <c r="I26" s="3" t="s">
        <v>274</v>
      </c>
      <c r="J26" s="3" t="s">
        <v>15</v>
      </c>
      <c r="K26" s="3" t="s">
        <v>832</v>
      </c>
      <c r="L26" s="1" t="s">
        <v>889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.6">
      <c r="A27" s="3" t="s">
        <v>275</v>
      </c>
      <c r="B27" s="3" t="s">
        <v>43</v>
      </c>
      <c r="C27" s="3" t="s">
        <v>50</v>
      </c>
      <c r="D27" s="3" t="s">
        <v>195</v>
      </c>
      <c r="E27" s="3" t="s">
        <v>276</v>
      </c>
      <c r="F27" s="3" t="s">
        <v>277</v>
      </c>
      <c r="G27" s="3" t="s">
        <v>278</v>
      </c>
      <c r="H27" s="3" t="s">
        <v>279</v>
      </c>
      <c r="I27" s="3" t="s">
        <v>124</v>
      </c>
      <c r="J27" s="3" t="s">
        <v>15</v>
      </c>
      <c r="K27" s="3" t="s">
        <v>832</v>
      </c>
      <c r="L27" s="1" t="s">
        <v>864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.6">
      <c r="A28" s="3" t="s">
        <v>280</v>
      </c>
      <c r="B28" s="3" t="s">
        <v>43</v>
      </c>
      <c r="C28" s="3" t="s">
        <v>50</v>
      </c>
      <c r="D28" s="3" t="s">
        <v>209</v>
      </c>
      <c r="E28" s="3" t="s">
        <v>281</v>
      </c>
      <c r="F28" s="3" t="s">
        <v>282</v>
      </c>
      <c r="G28" s="3" t="s">
        <v>283</v>
      </c>
      <c r="H28" s="3" t="s">
        <v>284</v>
      </c>
      <c r="I28" s="3" t="s">
        <v>124</v>
      </c>
      <c r="J28" s="3" t="s">
        <v>15</v>
      </c>
      <c r="K28" s="3" t="s">
        <v>832</v>
      </c>
      <c r="L28" s="1" t="s">
        <v>863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1.4">
      <c r="A29" s="3" t="s">
        <v>285</v>
      </c>
      <c r="B29" s="3" t="s">
        <v>43</v>
      </c>
      <c r="C29" s="3" t="s">
        <v>150</v>
      </c>
      <c r="D29" s="3" t="s">
        <v>286</v>
      </c>
      <c r="E29" s="3" t="s">
        <v>287</v>
      </c>
      <c r="F29" s="3" t="s">
        <v>288</v>
      </c>
      <c r="G29" s="3" t="s">
        <v>289</v>
      </c>
      <c r="H29" s="3" t="s">
        <v>290</v>
      </c>
      <c r="I29" s="3" t="s">
        <v>124</v>
      </c>
      <c r="J29" s="3" t="s">
        <v>15</v>
      </c>
      <c r="K29" s="3" t="s">
        <v>832</v>
      </c>
      <c r="L29" s="1" t="s">
        <v>834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6">
      <c r="A30" s="3" t="s">
        <v>291</v>
      </c>
      <c r="B30" s="3" t="s">
        <v>45</v>
      </c>
      <c r="C30" s="3" t="s">
        <v>50</v>
      </c>
      <c r="D30" s="3" t="s">
        <v>292</v>
      </c>
      <c r="E30" s="3" t="s">
        <v>293</v>
      </c>
      <c r="F30" s="3" t="s">
        <v>294</v>
      </c>
      <c r="G30" s="3" t="s">
        <v>295</v>
      </c>
      <c r="H30" s="3" t="s">
        <v>296</v>
      </c>
      <c r="I30" s="3" t="s">
        <v>124</v>
      </c>
      <c r="J30" s="3" t="s">
        <v>15</v>
      </c>
      <c r="K30" s="3" t="s">
        <v>832</v>
      </c>
      <c r="L30" s="1" t="s">
        <v>862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6">
      <c r="A31" s="3" t="s">
        <v>297</v>
      </c>
      <c r="B31" s="3" t="s">
        <v>45</v>
      </c>
      <c r="C31" s="3" t="s">
        <v>50</v>
      </c>
      <c r="D31" s="3" t="s">
        <v>298</v>
      </c>
      <c r="E31" s="3" t="s">
        <v>299</v>
      </c>
      <c r="F31" s="3" t="s">
        <v>300</v>
      </c>
      <c r="G31" s="3" t="s">
        <v>301</v>
      </c>
      <c r="H31" s="3" t="s">
        <v>302</v>
      </c>
      <c r="I31" s="3" t="s">
        <v>303</v>
      </c>
      <c r="J31" s="3" t="s">
        <v>15</v>
      </c>
      <c r="K31" s="3" t="s">
        <v>815</v>
      </c>
      <c r="L31" s="1" t="s">
        <v>890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.6">
      <c r="A32" s="3" t="s">
        <v>304</v>
      </c>
      <c r="B32" s="3" t="s">
        <v>45</v>
      </c>
      <c r="C32" s="3" t="s">
        <v>150</v>
      </c>
      <c r="D32" s="3" t="s">
        <v>305</v>
      </c>
      <c r="E32" s="3" t="s">
        <v>306</v>
      </c>
      <c r="F32" s="3" t="s">
        <v>307</v>
      </c>
      <c r="G32" s="3" t="s">
        <v>308</v>
      </c>
      <c r="H32" s="3" t="s">
        <v>309</v>
      </c>
      <c r="I32" s="3" t="s">
        <v>124</v>
      </c>
      <c r="J32" s="3" t="s">
        <v>15</v>
      </c>
      <c r="K32" s="3" t="s">
        <v>832</v>
      </c>
      <c r="L32" s="1" t="s">
        <v>861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6">
      <c r="A33" s="3" t="s">
        <v>310</v>
      </c>
      <c r="B33" s="3" t="s">
        <v>47</v>
      </c>
      <c r="C33" s="3" t="s">
        <v>31</v>
      </c>
      <c r="D33" s="3" t="s">
        <v>311</v>
      </c>
      <c r="E33" s="3" t="s">
        <v>312</v>
      </c>
      <c r="F33" s="3" t="s">
        <v>313</v>
      </c>
      <c r="G33" s="3" t="s">
        <v>314</v>
      </c>
      <c r="H33" s="3" t="s">
        <v>315</v>
      </c>
      <c r="I33" s="3" t="s">
        <v>124</v>
      </c>
      <c r="J33" s="3" t="s">
        <v>15</v>
      </c>
      <c r="K33" s="3" t="s">
        <v>832</v>
      </c>
      <c r="L33" s="1" t="s">
        <v>860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.6">
      <c r="A34" s="3" t="s">
        <v>316</v>
      </c>
      <c r="B34" s="3" t="s">
        <v>47</v>
      </c>
      <c r="C34" s="3" t="s">
        <v>31</v>
      </c>
      <c r="D34" s="3" t="s">
        <v>317</v>
      </c>
      <c r="E34" s="3" t="s">
        <v>318</v>
      </c>
      <c r="F34" s="3" t="s">
        <v>319</v>
      </c>
      <c r="G34" s="3" t="s">
        <v>320</v>
      </c>
      <c r="H34" s="3" t="s">
        <v>321</v>
      </c>
      <c r="I34" s="3" t="s">
        <v>124</v>
      </c>
      <c r="J34" s="3" t="s">
        <v>15</v>
      </c>
      <c r="K34" s="3" t="s">
        <v>832</v>
      </c>
      <c r="L34" s="1" t="s">
        <v>859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6">
      <c r="A35" s="3" t="s">
        <v>322</v>
      </c>
      <c r="B35" s="3" t="s">
        <v>47</v>
      </c>
      <c r="C35" s="3" t="s">
        <v>31</v>
      </c>
      <c r="D35" s="3" t="s">
        <v>323</v>
      </c>
      <c r="E35" s="3" t="s">
        <v>324</v>
      </c>
      <c r="F35" s="3" t="s">
        <v>325</v>
      </c>
      <c r="G35" s="3" t="s">
        <v>326</v>
      </c>
      <c r="H35" s="3" t="s">
        <v>327</v>
      </c>
      <c r="I35" s="3" t="s">
        <v>124</v>
      </c>
      <c r="J35" s="3" t="s">
        <v>15</v>
      </c>
      <c r="K35" s="3" t="s">
        <v>832</v>
      </c>
      <c r="L35" s="1" t="s">
        <v>858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.6">
      <c r="A36" s="3" t="s">
        <v>328</v>
      </c>
      <c r="B36" s="3" t="s">
        <v>47</v>
      </c>
      <c r="C36" s="3" t="s">
        <v>31</v>
      </c>
      <c r="D36" s="3" t="s">
        <v>329</v>
      </c>
      <c r="E36" s="3" t="s">
        <v>330</v>
      </c>
      <c r="F36" s="3" t="s">
        <v>331</v>
      </c>
      <c r="G36" s="3" t="s">
        <v>332</v>
      </c>
      <c r="H36" s="3" t="s">
        <v>333</v>
      </c>
      <c r="I36" s="3" t="s">
        <v>124</v>
      </c>
      <c r="J36" s="3" t="s">
        <v>15</v>
      </c>
      <c r="K36" s="3" t="s">
        <v>832</v>
      </c>
      <c r="L36" s="1" t="s">
        <v>857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.6">
      <c r="A37" s="3" t="s">
        <v>334</v>
      </c>
      <c r="B37" s="3" t="s">
        <v>47</v>
      </c>
      <c r="C37" s="3" t="s">
        <v>31</v>
      </c>
      <c r="D37" s="3" t="s">
        <v>335</v>
      </c>
      <c r="E37" s="3" t="s">
        <v>336</v>
      </c>
      <c r="F37" s="3" t="s">
        <v>337</v>
      </c>
      <c r="G37" s="3" t="s">
        <v>338</v>
      </c>
      <c r="H37" s="3" t="s">
        <v>339</v>
      </c>
      <c r="I37" s="3" t="s">
        <v>124</v>
      </c>
      <c r="J37" s="3" t="s">
        <v>15</v>
      </c>
      <c r="K37" s="3" t="s">
        <v>832</v>
      </c>
      <c r="L37" s="1" t="s">
        <v>856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6">
      <c r="A38" s="3" t="s">
        <v>340</v>
      </c>
      <c r="B38" s="3" t="s">
        <v>47</v>
      </c>
      <c r="C38" s="3" t="s">
        <v>31</v>
      </c>
      <c r="D38" s="3" t="s">
        <v>341</v>
      </c>
      <c r="E38" s="3" t="s">
        <v>342</v>
      </c>
      <c r="F38" s="3" t="s">
        <v>343</v>
      </c>
      <c r="G38" s="3" t="s">
        <v>344</v>
      </c>
      <c r="H38" s="3" t="s">
        <v>345</v>
      </c>
      <c r="I38" s="3" t="s">
        <v>124</v>
      </c>
      <c r="J38" s="3" t="s">
        <v>15</v>
      </c>
      <c r="K38" s="3" t="s">
        <v>815</v>
      </c>
      <c r="L38" s="1" t="s">
        <v>891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.6">
      <c r="A39" s="3" t="s">
        <v>346</v>
      </c>
      <c r="B39" s="3" t="s">
        <v>47</v>
      </c>
      <c r="C39" s="3" t="s">
        <v>31</v>
      </c>
      <c r="D39" s="3" t="s">
        <v>347</v>
      </c>
      <c r="E39" s="3" t="s">
        <v>348</v>
      </c>
      <c r="F39" s="3" t="s">
        <v>349</v>
      </c>
      <c r="G39" s="3" t="s">
        <v>350</v>
      </c>
      <c r="H39" s="3" t="s">
        <v>351</v>
      </c>
      <c r="I39" s="3" t="s">
        <v>124</v>
      </c>
      <c r="J39" s="3" t="s">
        <v>15</v>
      </c>
      <c r="K39" s="3" t="s">
        <v>832</v>
      </c>
      <c r="L39" s="1" t="s">
        <v>855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6">
      <c r="A40" s="3" t="s">
        <v>352</v>
      </c>
      <c r="B40" s="3" t="s">
        <v>47</v>
      </c>
      <c r="C40" s="3" t="s">
        <v>31</v>
      </c>
      <c r="D40" s="3" t="s">
        <v>353</v>
      </c>
      <c r="E40" s="3" t="s">
        <v>354</v>
      </c>
      <c r="F40" s="3" t="s">
        <v>355</v>
      </c>
      <c r="G40" s="3" t="s">
        <v>356</v>
      </c>
      <c r="H40" s="3" t="s">
        <v>357</v>
      </c>
      <c r="I40" s="3" t="s">
        <v>124</v>
      </c>
      <c r="J40" s="3" t="s">
        <v>15</v>
      </c>
      <c r="K40" s="3" t="s">
        <v>832</v>
      </c>
      <c r="L40" s="1" t="s">
        <v>854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.6">
      <c r="A41" s="3" t="s">
        <v>358</v>
      </c>
      <c r="B41" s="3" t="s">
        <v>47</v>
      </c>
      <c r="C41" s="3" t="s">
        <v>31</v>
      </c>
      <c r="D41" s="3" t="s">
        <v>359</v>
      </c>
      <c r="E41" s="3" t="s">
        <v>360</v>
      </c>
      <c r="F41" s="3" t="s">
        <v>361</v>
      </c>
      <c r="G41" s="3" t="s">
        <v>362</v>
      </c>
      <c r="H41" s="3" t="s">
        <v>363</v>
      </c>
      <c r="I41" s="3" t="s">
        <v>124</v>
      </c>
      <c r="J41" s="3" t="s">
        <v>15</v>
      </c>
      <c r="K41" s="3" t="s">
        <v>832</v>
      </c>
      <c r="L41" s="1" t="s">
        <v>853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1.4">
      <c r="A42" s="3" t="s">
        <v>364</v>
      </c>
      <c r="B42" s="3" t="s">
        <v>47</v>
      </c>
      <c r="C42" s="3" t="s">
        <v>50</v>
      </c>
      <c r="D42" s="3" t="s">
        <v>365</v>
      </c>
      <c r="E42" s="3" t="s">
        <v>366</v>
      </c>
      <c r="F42" s="3" t="s">
        <v>367</v>
      </c>
      <c r="G42" s="3" t="s">
        <v>368</v>
      </c>
      <c r="H42" s="3" t="s">
        <v>369</v>
      </c>
      <c r="I42" s="3" t="s">
        <v>124</v>
      </c>
      <c r="J42" s="3" t="s">
        <v>15</v>
      </c>
      <c r="K42" s="3" t="s">
        <v>832</v>
      </c>
      <c r="L42" s="1" t="s">
        <v>852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6">
      <c r="A43" s="3" t="s">
        <v>370</v>
      </c>
      <c r="B43" s="3" t="s">
        <v>51</v>
      </c>
      <c r="C43" s="3" t="s">
        <v>31</v>
      </c>
      <c r="D43" s="3" t="s">
        <v>298</v>
      </c>
      <c r="E43" s="3" t="s">
        <v>371</v>
      </c>
      <c r="F43" s="3" t="s">
        <v>372</v>
      </c>
      <c r="G43" s="3" t="s">
        <v>373</v>
      </c>
      <c r="H43" s="3" t="s">
        <v>374</v>
      </c>
      <c r="I43" s="3" t="s">
        <v>303</v>
      </c>
      <c r="J43" s="3" t="s">
        <v>15</v>
      </c>
      <c r="K43" s="3" t="s">
        <v>815</v>
      </c>
      <c r="L43" s="1" t="s">
        <v>892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1.4">
      <c r="A44" s="3" t="s">
        <v>375</v>
      </c>
      <c r="B44" s="3" t="s">
        <v>51</v>
      </c>
      <c r="C44" s="3" t="s">
        <v>31</v>
      </c>
      <c r="D44" s="3" t="s">
        <v>376</v>
      </c>
      <c r="E44" s="3" t="s">
        <v>377</v>
      </c>
      <c r="F44" s="3" t="s">
        <v>378</v>
      </c>
      <c r="G44" s="3" t="s">
        <v>379</v>
      </c>
      <c r="H44" s="3" t="s">
        <v>380</v>
      </c>
      <c r="I44" s="3" t="s">
        <v>381</v>
      </c>
      <c r="J44" s="3" t="s">
        <v>15</v>
      </c>
      <c r="K44" s="3" t="s">
        <v>815</v>
      </c>
      <c r="L44" s="1" t="s">
        <v>817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1.4">
      <c r="A45" s="3" t="s">
        <v>382</v>
      </c>
      <c r="B45" s="3" t="s">
        <v>51</v>
      </c>
      <c r="C45" s="3" t="s">
        <v>50</v>
      </c>
      <c r="D45" s="3" t="s">
        <v>383</v>
      </c>
      <c r="E45" s="3" t="s">
        <v>384</v>
      </c>
      <c r="F45" s="3" t="s">
        <v>385</v>
      </c>
      <c r="G45" s="3" t="s">
        <v>386</v>
      </c>
      <c r="H45" s="3" t="s">
        <v>387</v>
      </c>
      <c r="I45" s="3" t="s">
        <v>124</v>
      </c>
      <c r="J45" s="3" t="s">
        <v>15</v>
      </c>
      <c r="K45" s="3" t="s">
        <v>832</v>
      </c>
      <c r="L45" s="1" t="s">
        <v>851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.6">
      <c r="A46" s="3" t="s">
        <v>388</v>
      </c>
      <c r="B46" s="3" t="s">
        <v>51</v>
      </c>
      <c r="C46" s="3" t="s">
        <v>50</v>
      </c>
      <c r="D46" s="3" t="s">
        <v>389</v>
      </c>
      <c r="E46" s="3" t="s">
        <v>390</v>
      </c>
      <c r="F46" s="3" t="s">
        <v>391</v>
      </c>
      <c r="G46" s="3" t="s">
        <v>392</v>
      </c>
      <c r="H46" s="3" t="s">
        <v>393</v>
      </c>
      <c r="I46" s="3" t="s">
        <v>124</v>
      </c>
      <c r="J46" s="3" t="s">
        <v>15</v>
      </c>
      <c r="K46" s="3" t="s">
        <v>832</v>
      </c>
      <c r="L46" s="1" t="s">
        <v>841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.6">
      <c r="A47" s="3" t="s">
        <v>394</v>
      </c>
      <c r="B47" s="3" t="s">
        <v>51</v>
      </c>
      <c r="C47" s="3" t="s">
        <v>50</v>
      </c>
      <c r="D47" s="3" t="s">
        <v>395</v>
      </c>
      <c r="E47" s="3" t="s">
        <v>396</v>
      </c>
      <c r="F47" s="3" t="s">
        <v>397</v>
      </c>
      <c r="G47" s="3" t="s">
        <v>398</v>
      </c>
      <c r="H47" s="3" t="s">
        <v>399</v>
      </c>
      <c r="I47" s="3" t="s">
        <v>274</v>
      </c>
      <c r="J47" s="3" t="s">
        <v>15</v>
      </c>
      <c r="K47" s="3" t="s">
        <v>832</v>
      </c>
      <c r="L47" s="1" t="s">
        <v>850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7.6">
      <c r="A48" s="3" t="s">
        <v>400</v>
      </c>
      <c r="B48" s="3" t="s">
        <v>51</v>
      </c>
      <c r="C48" s="3" t="s">
        <v>150</v>
      </c>
      <c r="D48" s="3" t="s">
        <v>401</v>
      </c>
      <c r="E48" s="3" t="s">
        <v>158</v>
      </c>
      <c r="F48" s="3" t="s">
        <v>402</v>
      </c>
      <c r="G48" s="3" t="s">
        <v>403</v>
      </c>
      <c r="H48" s="3" t="s">
        <v>404</v>
      </c>
      <c r="I48" s="3" t="s">
        <v>303</v>
      </c>
      <c r="J48" s="3" t="s">
        <v>15</v>
      </c>
      <c r="K48" s="3" t="s">
        <v>815</v>
      </c>
      <c r="L48" s="1" t="s">
        <v>893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1.4">
      <c r="A49" s="3" t="s">
        <v>405</v>
      </c>
      <c r="B49" s="3" t="s">
        <v>55</v>
      </c>
      <c r="C49" s="3" t="s">
        <v>163</v>
      </c>
      <c r="D49" s="3" t="s">
        <v>406</v>
      </c>
      <c r="E49" s="3" t="s">
        <v>407</v>
      </c>
      <c r="F49" s="3" t="s">
        <v>408</v>
      </c>
      <c r="G49" s="3" t="s">
        <v>409</v>
      </c>
      <c r="H49" s="3" t="s">
        <v>410</v>
      </c>
      <c r="I49" s="3" t="s">
        <v>381</v>
      </c>
      <c r="J49" s="3" t="s">
        <v>15</v>
      </c>
      <c r="K49" s="3" t="s">
        <v>815</v>
      </c>
      <c r="L49" s="1" t="s">
        <v>830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6">
      <c r="A50" s="3" t="s">
        <v>411</v>
      </c>
      <c r="B50" s="3" t="s">
        <v>55</v>
      </c>
      <c r="C50" s="3" t="s">
        <v>31</v>
      </c>
      <c r="D50" s="3" t="s">
        <v>298</v>
      </c>
      <c r="E50" s="3" t="s">
        <v>412</v>
      </c>
      <c r="F50" s="3" t="s">
        <v>413</v>
      </c>
      <c r="G50" s="3" t="s">
        <v>414</v>
      </c>
      <c r="H50" s="3" t="s">
        <v>415</v>
      </c>
      <c r="I50" s="3" t="s">
        <v>303</v>
      </c>
      <c r="J50" s="3" t="s">
        <v>15</v>
      </c>
      <c r="K50" s="3" t="s">
        <v>815</v>
      </c>
      <c r="L50" s="1" t="s">
        <v>894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1.4">
      <c r="A51" s="3" t="s">
        <v>416</v>
      </c>
      <c r="B51" s="3" t="s">
        <v>55</v>
      </c>
      <c r="C51" s="3" t="s">
        <v>50</v>
      </c>
      <c r="D51" s="3" t="s">
        <v>417</v>
      </c>
      <c r="E51" s="3" t="s">
        <v>418</v>
      </c>
      <c r="F51" s="3" t="s">
        <v>419</v>
      </c>
      <c r="G51" s="3" t="s">
        <v>420</v>
      </c>
      <c r="H51" s="3" t="s">
        <v>421</v>
      </c>
      <c r="I51" s="3" t="s">
        <v>381</v>
      </c>
      <c r="J51" s="3" t="s">
        <v>15</v>
      </c>
      <c r="K51" s="3" t="s">
        <v>815</v>
      </c>
      <c r="L51" s="1" t="s">
        <v>828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1.4">
      <c r="A52" s="3" t="s">
        <v>422</v>
      </c>
      <c r="B52" s="3" t="s">
        <v>55</v>
      </c>
      <c r="C52" s="3" t="s">
        <v>31</v>
      </c>
      <c r="D52" s="3" t="s">
        <v>423</v>
      </c>
      <c r="E52" s="3" t="s">
        <v>377</v>
      </c>
      <c r="F52" s="3" t="s">
        <v>424</v>
      </c>
      <c r="G52" s="3" t="s">
        <v>425</v>
      </c>
      <c r="H52" s="3" t="s">
        <v>426</v>
      </c>
      <c r="I52" s="3" t="s">
        <v>381</v>
      </c>
      <c r="J52" s="3" t="s">
        <v>15</v>
      </c>
      <c r="K52" s="3" t="s">
        <v>815</v>
      </c>
      <c r="L52" s="1" t="s">
        <v>827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.6">
      <c r="A53" s="3" t="s">
        <v>427</v>
      </c>
      <c r="B53" s="3" t="s">
        <v>55</v>
      </c>
      <c r="C53" s="3" t="s">
        <v>50</v>
      </c>
      <c r="D53" s="3" t="s">
        <v>428</v>
      </c>
      <c r="E53" s="3" t="s">
        <v>429</v>
      </c>
      <c r="F53" s="3" t="s">
        <v>430</v>
      </c>
      <c r="G53" s="3" t="s">
        <v>431</v>
      </c>
      <c r="H53" s="3" t="s">
        <v>432</v>
      </c>
      <c r="I53" s="3" t="s">
        <v>124</v>
      </c>
      <c r="J53" s="3" t="s">
        <v>15</v>
      </c>
      <c r="K53" s="3" t="s">
        <v>832</v>
      </c>
      <c r="L53" s="1" t="s">
        <v>848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41.4">
      <c r="A54" s="3" t="s">
        <v>433</v>
      </c>
      <c r="B54" s="3" t="s">
        <v>55</v>
      </c>
      <c r="C54" s="3" t="s">
        <v>50</v>
      </c>
      <c r="D54" s="3" t="s">
        <v>434</v>
      </c>
      <c r="E54" s="3" t="s">
        <v>435</v>
      </c>
      <c r="F54" s="3" t="s">
        <v>436</v>
      </c>
      <c r="G54" s="3" t="s">
        <v>437</v>
      </c>
      <c r="H54" s="3" t="s">
        <v>438</v>
      </c>
      <c r="I54" s="3" t="s">
        <v>381</v>
      </c>
      <c r="J54" s="3" t="s">
        <v>15</v>
      </c>
      <c r="K54" s="3" t="s">
        <v>832</v>
      </c>
      <c r="L54" s="1" t="s">
        <v>847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41.4">
      <c r="A55" s="3" t="s">
        <v>439</v>
      </c>
      <c r="B55" s="3" t="s">
        <v>58</v>
      </c>
      <c r="C55" s="3" t="s">
        <v>31</v>
      </c>
      <c r="D55" s="3" t="s">
        <v>440</v>
      </c>
      <c r="E55" s="3" t="s">
        <v>441</v>
      </c>
      <c r="F55" s="3" t="s">
        <v>442</v>
      </c>
      <c r="G55" s="3" t="s">
        <v>443</v>
      </c>
      <c r="H55" s="3" t="s">
        <v>444</v>
      </c>
      <c r="I55" s="3" t="s">
        <v>124</v>
      </c>
      <c r="J55" s="3" t="s">
        <v>15</v>
      </c>
      <c r="K55" s="3" t="s">
        <v>815</v>
      </c>
      <c r="L55" s="1" t="s">
        <v>895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41.4">
      <c r="A56" s="3" t="s">
        <v>445</v>
      </c>
      <c r="B56" s="3" t="s">
        <v>58</v>
      </c>
      <c r="C56" s="3" t="s">
        <v>31</v>
      </c>
      <c r="D56" s="3" t="s">
        <v>446</v>
      </c>
      <c r="E56" s="3" t="s">
        <v>447</v>
      </c>
      <c r="F56" s="3" t="s">
        <v>448</v>
      </c>
      <c r="G56" s="3" t="s">
        <v>449</v>
      </c>
      <c r="H56" s="3" t="s">
        <v>450</v>
      </c>
      <c r="I56" s="3" t="s">
        <v>124</v>
      </c>
      <c r="J56" s="3" t="s">
        <v>15</v>
      </c>
      <c r="K56" s="3" t="s">
        <v>815</v>
      </c>
      <c r="L56" s="1" t="s">
        <v>896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41.4">
      <c r="A57" s="3" t="s">
        <v>451</v>
      </c>
      <c r="B57" s="3" t="s">
        <v>58</v>
      </c>
      <c r="C57" s="3" t="s">
        <v>50</v>
      </c>
      <c r="D57" s="3" t="s">
        <v>452</v>
      </c>
      <c r="E57" s="3" t="s">
        <v>453</v>
      </c>
      <c r="F57" s="3" t="s">
        <v>454</v>
      </c>
      <c r="G57" s="3" t="s">
        <v>455</v>
      </c>
      <c r="H57" s="3" t="s">
        <v>456</v>
      </c>
      <c r="I57" s="3" t="s">
        <v>124</v>
      </c>
      <c r="J57" s="3" t="s">
        <v>15</v>
      </c>
      <c r="K57" s="3" t="s">
        <v>815</v>
      </c>
      <c r="L57" s="1" t="s">
        <v>897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41.4">
      <c r="A58" s="3" t="s">
        <v>457</v>
      </c>
      <c r="B58" s="3" t="s">
        <v>58</v>
      </c>
      <c r="C58" s="3" t="s">
        <v>50</v>
      </c>
      <c r="D58" s="3" t="s">
        <v>458</v>
      </c>
      <c r="E58" s="3" t="s">
        <v>459</v>
      </c>
      <c r="F58" s="3" t="s">
        <v>460</v>
      </c>
      <c r="G58" s="3" t="s">
        <v>461</v>
      </c>
      <c r="H58" s="3" t="s">
        <v>462</v>
      </c>
      <c r="I58" s="3" t="s">
        <v>124</v>
      </c>
      <c r="J58" s="3" t="s">
        <v>15</v>
      </c>
      <c r="K58" s="3" t="s">
        <v>815</v>
      </c>
      <c r="L58" s="1" t="s">
        <v>898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.6">
      <c r="A59" s="3" t="s">
        <v>463</v>
      </c>
      <c r="B59" s="3" t="s">
        <v>58</v>
      </c>
      <c r="C59" s="3" t="s">
        <v>50</v>
      </c>
      <c r="D59" s="3" t="s">
        <v>464</v>
      </c>
      <c r="E59" s="3" t="s">
        <v>465</v>
      </c>
      <c r="F59" s="3" t="s">
        <v>466</v>
      </c>
      <c r="G59" s="3" t="s">
        <v>467</v>
      </c>
      <c r="H59" s="3" t="s">
        <v>468</v>
      </c>
      <c r="I59" s="3" t="s">
        <v>124</v>
      </c>
      <c r="J59" s="3" t="s">
        <v>15</v>
      </c>
      <c r="K59" s="3" t="s">
        <v>832</v>
      </c>
      <c r="L59" s="1" t="s">
        <v>846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6">
      <c r="A60" s="3" t="s">
        <v>469</v>
      </c>
      <c r="B60" s="3" t="s">
        <v>58</v>
      </c>
      <c r="C60" s="3" t="s">
        <v>50</v>
      </c>
      <c r="D60" s="3" t="s">
        <v>470</v>
      </c>
      <c r="E60" s="3" t="s">
        <v>471</v>
      </c>
      <c r="F60" s="3" t="s">
        <v>472</v>
      </c>
      <c r="G60" s="3" t="s">
        <v>473</v>
      </c>
      <c r="H60" s="3" t="s">
        <v>474</v>
      </c>
      <c r="I60" s="3" t="s">
        <v>124</v>
      </c>
      <c r="J60" s="3" t="s">
        <v>15</v>
      </c>
      <c r="K60" s="3" t="s">
        <v>815</v>
      </c>
      <c r="L60" s="1" t="s">
        <v>899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.6">
      <c r="A61" s="3" t="s">
        <v>475</v>
      </c>
      <c r="B61" s="3" t="s">
        <v>61</v>
      </c>
      <c r="C61" s="3" t="s">
        <v>163</v>
      </c>
      <c r="D61" s="3" t="s">
        <v>232</v>
      </c>
      <c r="E61" s="3" t="s">
        <v>476</v>
      </c>
      <c r="F61" s="3" t="s">
        <v>477</v>
      </c>
      <c r="G61" s="3" t="s">
        <v>235</v>
      </c>
      <c r="H61" s="3" t="s">
        <v>478</v>
      </c>
      <c r="I61" s="3" t="s">
        <v>237</v>
      </c>
      <c r="J61" s="3" t="s">
        <v>15</v>
      </c>
      <c r="K61" s="3" t="s">
        <v>815</v>
      </c>
      <c r="L61" s="1" t="s">
        <v>821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41.4">
      <c r="A62" s="3" t="s">
        <v>479</v>
      </c>
      <c r="B62" s="3" t="s">
        <v>61</v>
      </c>
      <c r="C62" s="3" t="s">
        <v>31</v>
      </c>
      <c r="D62" s="3" t="s">
        <v>480</v>
      </c>
      <c r="E62" s="3" t="s">
        <v>481</v>
      </c>
      <c r="F62" s="3" t="s">
        <v>482</v>
      </c>
      <c r="G62" s="3" t="s">
        <v>483</v>
      </c>
      <c r="H62" s="3" t="s">
        <v>484</v>
      </c>
      <c r="I62" s="3" t="s">
        <v>124</v>
      </c>
      <c r="J62" s="3" t="s">
        <v>15</v>
      </c>
      <c r="K62" s="3" t="s">
        <v>815</v>
      </c>
      <c r="L62" s="1" t="s">
        <v>900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6">
      <c r="A63" s="3" t="s">
        <v>485</v>
      </c>
      <c r="B63" s="3" t="s">
        <v>61</v>
      </c>
      <c r="C63" s="3" t="s">
        <v>50</v>
      </c>
      <c r="D63" s="3" t="s">
        <v>486</v>
      </c>
      <c r="E63" s="3" t="s">
        <v>487</v>
      </c>
      <c r="F63" s="3" t="s">
        <v>488</v>
      </c>
      <c r="G63" s="3" t="s">
        <v>489</v>
      </c>
      <c r="H63" s="3" t="s">
        <v>490</v>
      </c>
      <c r="I63" s="3" t="s">
        <v>237</v>
      </c>
      <c r="J63" s="3" t="s">
        <v>15</v>
      </c>
      <c r="K63" s="3" t="s">
        <v>815</v>
      </c>
      <c r="L63" s="1" t="s">
        <v>901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6">
      <c r="A64" s="3" t="s">
        <v>491</v>
      </c>
      <c r="B64" s="3" t="s">
        <v>61</v>
      </c>
      <c r="C64" s="3" t="s">
        <v>50</v>
      </c>
      <c r="D64" s="3" t="s">
        <v>492</v>
      </c>
      <c r="E64" s="3" t="s">
        <v>493</v>
      </c>
      <c r="F64" s="3" t="s">
        <v>494</v>
      </c>
      <c r="G64" s="3" t="s">
        <v>495</v>
      </c>
      <c r="H64" s="3" t="s">
        <v>496</v>
      </c>
      <c r="I64" s="3" t="s">
        <v>124</v>
      </c>
      <c r="J64" s="3" t="s">
        <v>15</v>
      </c>
      <c r="K64" s="3" t="s">
        <v>832</v>
      </c>
      <c r="L64" s="1" t="s">
        <v>844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.6">
      <c r="A65" s="3" t="s">
        <v>497</v>
      </c>
      <c r="B65" s="3" t="s">
        <v>61</v>
      </c>
      <c r="C65" s="3" t="s">
        <v>50</v>
      </c>
      <c r="D65" s="3" t="s">
        <v>464</v>
      </c>
      <c r="E65" s="3" t="s">
        <v>498</v>
      </c>
      <c r="F65" s="3" t="s">
        <v>499</v>
      </c>
      <c r="G65" s="3" t="s">
        <v>500</v>
      </c>
      <c r="H65" s="3" t="s">
        <v>501</v>
      </c>
      <c r="I65" s="3" t="s">
        <v>124</v>
      </c>
      <c r="J65" s="3" t="s">
        <v>15</v>
      </c>
      <c r="K65" s="3" t="s">
        <v>832</v>
      </c>
      <c r="L65" s="1" t="s">
        <v>843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6">
      <c r="A66" s="3" t="s">
        <v>502</v>
      </c>
      <c r="B66" s="3" t="s">
        <v>63</v>
      </c>
      <c r="C66" s="3" t="s">
        <v>31</v>
      </c>
      <c r="D66" s="3" t="s">
        <v>503</v>
      </c>
      <c r="E66" s="3" t="s">
        <v>504</v>
      </c>
      <c r="F66" s="3" t="s">
        <v>505</v>
      </c>
      <c r="G66" s="3" t="s">
        <v>506</v>
      </c>
      <c r="H66" s="3" t="s">
        <v>507</v>
      </c>
      <c r="I66" s="3" t="s">
        <v>303</v>
      </c>
      <c r="J66" s="3" t="s">
        <v>15</v>
      </c>
      <c r="K66" s="3" t="s">
        <v>815</v>
      </c>
      <c r="L66" s="1" t="s">
        <v>902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6">
      <c r="A67" s="3" t="s">
        <v>508</v>
      </c>
      <c r="B67" s="3" t="s">
        <v>63</v>
      </c>
      <c r="C67" s="3" t="s">
        <v>50</v>
      </c>
      <c r="D67" s="3" t="s">
        <v>509</v>
      </c>
      <c r="E67" s="3" t="s">
        <v>510</v>
      </c>
      <c r="F67" s="3" t="s">
        <v>511</v>
      </c>
      <c r="G67" s="3" t="s">
        <v>512</v>
      </c>
      <c r="H67" s="3" t="s">
        <v>513</v>
      </c>
      <c r="I67" s="3" t="s">
        <v>207</v>
      </c>
      <c r="J67" s="3" t="s">
        <v>15</v>
      </c>
      <c r="K67" s="3" t="s">
        <v>832</v>
      </c>
      <c r="L67" s="1" t="s">
        <v>842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.6">
      <c r="A68" s="3" t="s">
        <v>514</v>
      </c>
      <c r="B68" s="3" t="s">
        <v>63</v>
      </c>
      <c r="C68" s="3" t="s">
        <v>50</v>
      </c>
      <c r="D68" s="3" t="s">
        <v>515</v>
      </c>
      <c r="E68" s="3" t="s">
        <v>516</v>
      </c>
      <c r="F68" s="3" t="s">
        <v>517</v>
      </c>
      <c r="G68" s="3" t="s">
        <v>518</v>
      </c>
      <c r="H68" s="3" t="s">
        <v>519</v>
      </c>
      <c r="I68" s="3" t="s">
        <v>207</v>
      </c>
      <c r="J68" s="3" t="s">
        <v>15</v>
      </c>
      <c r="K68" s="3" t="s">
        <v>832</v>
      </c>
      <c r="L68" s="1" t="s">
        <v>841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6">
      <c r="A69" s="3" t="s">
        <v>520</v>
      </c>
      <c r="B69" s="3" t="s">
        <v>63</v>
      </c>
      <c r="C69" s="3" t="s">
        <v>50</v>
      </c>
      <c r="D69" s="3" t="s">
        <v>521</v>
      </c>
      <c r="E69" s="3" t="s">
        <v>522</v>
      </c>
      <c r="F69" s="3" t="s">
        <v>523</v>
      </c>
      <c r="G69" s="3" t="s">
        <v>524</v>
      </c>
      <c r="H69" s="3" t="s">
        <v>525</v>
      </c>
      <c r="I69" s="3" t="s">
        <v>124</v>
      </c>
      <c r="J69" s="3" t="s">
        <v>15</v>
      </c>
      <c r="K69" s="3" t="s">
        <v>832</v>
      </c>
      <c r="L69" s="1" t="s">
        <v>840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.6">
      <c r="A70" s="3" t="s">
        <v>526</v>
      </c>
      <c r="B70" s="3" t="s">
        <v>63</v>
      </c>
      <c r="C70" s="3" t="s">
        <v>150</v>
      </c>
      <c r="D70" s="3" t="s">
        <v>527</v>
      </c>
      <c r="E70" s="3" t="s">
        <v>465</v>
      </c>
      <c r="F70" s="3" t="s">
        <v>528</v>
      </c>
      <c r="G70" s="3" t="s">
        <v>529</v>
      </c>
      <c r="H70" s="3" t="s">
        <v>530</v>
      </c>
      <c r="I70" s="3" t="s">
        <v>124</v>
      </c>
      <c r="J70" s="3" t="s">
        <v>15</v>
      </c>
      <c r="K70" s="3" t="s">
        <v>832</v>
      </c>
      <c r="L70" s="1" t="s">
        <v>839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41.4">
      <c r="A71" s="3" t="s">
        <v>531</v>
      </c>
      <c r="B71" s="3" t="s">
        <v>65</v>
      </c>
      <c r="C71" s="3" t="s">
        <v>163</v>
      </c>
      <c r="D71" s="3" t="s">
        <v>532</v>
      </c>
      <c r="E71" s="3" t="s">
        <v>533</v>
      </c>
      <c r="F71" s="3" t="s">
        <v>534</v>
      </c>
      <c r="G71" s="3" t="s">
        <v>535</v>
      </c>
      <c r="H71" s="3" t="s">
        <v>536</v>
      </c>
      <c r="I71" s="3" t="s">
        <v>207</v>
      </c>
      <c r="J71" s="3" t="s">
        <v>15</v>
      </c>
      <c r="K71" s="3" t="s">
        <v>815</v>
      </c>
      <c r="L71" s="1" t="s">
        <v>903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6">
      <c r="A72" s="3" t="s">
        <v>537</v>
      </c>
      <c r="B72" s="3" t="s">
        <v>65</v>
      </c>
      <c r="C72" s="3" t="s">
        <v>163</v>
      </c>
      <c r="D72" s="3" t="s">
        <v>538</v>
      </c>
      <c r="E72" s="3" t="s">
        <v>539</v>
      </c>
      <c r="F72" s="3" t="s">
        <v>540</v>
      </c>
      <c r="G72" s="3" t="s">
        <v>541</v>
      </c>
      <c r="H72" s="3" t="s">
        <v>542</v>
      </c>
      <c r="I72" s="3" t="s">
        <v>207</v>
      </c>
      <c r="J72" s="3" t="s">
        <v>15</v>
      </c>
      <c r="K72" s="3" t="s">
        <v>815</v>
      </c>
      <c r="L72" s="1" t="s">
        <v>904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6">
      <c r="A73" s="3" t="s">
        <v>543</v>
      </c>
      <c r="B73" s="3" t="s">
        <v>65</v>
      </c>
      <c r="C73" s="3" t="s">
        <v>31</v>
      </c>
      <c r="D73" s="3" t="s">
        <v>544</v>
      </c>
      <c r="E73" s="3" t="s">
        <v>158</v>
      </c>
      <c r="F73" s="3" t="s">
        <v>545</v>
      </c>
      <c r="G73" s="3" t="s">
        <v>546</v>
      </c>
      <c r="H73" s="3" t="s">
        <v>547</v>
      </c>
      <c r="I73" s="3" t="s">
        <v>207</v>
      </c>
      <c r="J73" s="3" t="s">
        <v>15</v>
      </c>
      <c r="K73" s="3" t="s">
        <v>815</v>
      </c>
      <c r="L73" s="1" t="s">
        <v>905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6">
      <c r="A74" s="3" t="s">
        <v>548</v>
      </c>
      <c r="B74" s="3" t="s">
        <v>65</v>
      </c>
      <c r="C74" s="3" t="s">
        <v>31</v>
      </c>
      <c r="D74" s="3" t="s">
        <v>549</v>
      </c>
      <c r="E74" s="3" t="s">
        <v>550</v>
      </c>
      <c r="F74" s="3" t="s">
        <v>551</v>
      </c>
      <c r="G74" s="3" t="s">
        <v>552</v>
      </c>
      <c r="H74" s="3" t="s">
        <v>553</v>
      </c>
      <c r="I74" s="3" t="s">
        <v>207</v>
      </c>
      <c r="J74" s="3" t="s">
        <v>15</v>
      </c>
      <c r="K74" s="3" t="s">
        <v>815</v>
      </c>
      <c r="L74" s="1" t="s">
        <v>906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6">
      <c r="A75" s="3" t="s">
        <v>554</v>
      </c>
      <c r="B75" s="3" t="s">
        <v>65</v>
      </c>
      <c r="C75" s="3" t="s">
        <v>31</v>
      </c>
      <c r="D75" s="3" t="s">
        <v>555</v>
      </c>
      <c r="E75" s="3" t="s">
        <v>556</v>
      </c>
      <c r="F75" s="3" t="s">
        <v>557</v>
      </c>
      <c r="G75" s="3" t="s">
        <v>558</v>
      </c>
      <c r="H75" s="3" t="s">
        <v>559</v>
      </c>
      <c r="I75" s="3" t="s">
        <v>124</v>
      </c>
      <c r="J75" s="3" t="s">
        <v>15</v>
      </c>
      <c r="K75" s="3" t="s">
        <v>815</v>
      </c>
      <c r="L75" s="1" t="s">
        <v>907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41.4">
      <c r="A76" s="3" t="s">
        <v>560</v>
      </c>
      <c r="B76" s="3" t="s">
        <v>65</v>
      </c>
      <c r="C76" s="3" t="s">
        <v>50</v>
      </c>
      <c r="D76" s="3" t="s">
        <v>561</v>
      </c>
      <c r="E76" s="3" t="s">
        <v>562</v>
      </c>
      <c r="F76" s="3" t="s">
        <v>563</v>
      </c>
      <c r="G76" s="3" t="s">
        <v>564</v>
      </c>
      <c r="H76" s="3" t="s">
        <v>565</v>
      </c>
      <c r="I76" s="3" t="s">
        <v>131</v>
      </c>
      <c r="J76" s="3" t="s">
        <v>15</v>
      </c>
      <c r="K76" s="3" t="s">
        <v>815</v>
      </c>
      <c r="L76" s="1" t="s">
        <v>826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41.4">
      <c r="A77" s="3" t="s">
        <v>566</v>
      </c>
      <c r="B77" s="3" t="s">
        <v>65</v>
      </c>
      <c r="C77" s="3" t="s">
        <v>50</v>
      </c>
      <c r="D77" s="3" t="s">
        <v>567</v>
      </c>
      <c r="E77" s="3" t="s">
        <v>568</v>
      </c>
      <c r="F77" s="3" t="s">
        <v>569</v>
      </c>
      <c r="G77" s="3" t="s">
        <v>570</v>
      </c>
      <c r="H77" s="3" t="s">
        <v>571</v>
      </c>
      <c r="I77" s="3" t="s">
        <v>124</v>
      </c>
      <c r="J77" s="3" t="s">
        <v>15</v>
      </c>
      <c r="K77" s="3" t="s">
        <v>832</v>
      </c>
      <c r="L77" s="1" t="s">
        <v>837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6">
      <c r="A78" s="3" t="s">
        <v>572</v>
      </c>
      <c r="B78" s="3" t="s">
        <v>67</v>
      </c>
      <c r="C78" s="3" t="s">
        <v>163</v>
      </c>
      <c r="D78" s="3" t="s">
        <v>573</v>
      </c>
      <c r="E78" s="3" t="s">
        <v>574</v>
      </c>
      <c r="F78" s="3" t="s">
        <v>575</v>
      </c>
      <c r="G78" s="3" t="s">
        <v>576</v>
      </c>
      <c r="H78" s="3" t="s">
        <v>577</v>
      </c>
      <c r="I78" s="3" t="s">
        <v>124</v>
      </c>
      <c r="J78" s="3" t="s">
        <v>15</v>
      </c>
      <c r="K78" s="3" t="s">
        <v>815</v>
      </c>
      <c r="L78" s="1" t="s">
        <v>908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6">
      <c r="A79" s="3" t="s">
        <v>578</v>
      </c>
      <c r="B79" s="3" t="s">
        <v>67</v>
      </c>
      <c r="C79" s="3" t="s">
        <v>31</v>
      </c>
      <c r="D79" s="3" t="s">
        <v>579</v>
      </c>
      <c r="E79" s="3" t="s">
        <v>580</v>
      </c>
      <c r="F79" s="3" t="s">
        <v>581</v>
      </c>
      <c r="G79" s="3" t="s">
        <v>582</v>
      </c>
      <c r="H79" s="3" t="s">
        <v>583</v>
      </c>
      <c r="I79" s="3" t="s">
        <v>124</v>
      </c>
      <c r="J79" s="3" t="s">
        <v>15</v>
      </c>
      <c r="K79" s="3" t="s">
        <v>815</v>
      </c>
      <c r="L79" s="1" t="s">
        <v>909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6">
      <c r="A80" s="3" t="s">
        <v>584</v>
      </c>
      <c r="B80" s="3" t="s">
        <v>67</v>
      </c>
      <c r="C80" s="3" t="s">
        <v>31</v>
      </c>
      <c r="D80" s="3" t="s">
        <v>585</v>
      </c>
      <c r="E80" s="3" t="s">
        <v>586</v>
      </c>
      <c r="F80" s="3" t="s">
        <v>587</v>
      </c>
      <c r="G80" s="3" t="s">
        <v>588</v>
      </c>
      <c r="H80" s="3" t="s">
        <v>589</v>
      </c>
      <c r="I80" s="3" t="s">
        <v>124</v>
      </c>
      <c r="J80" s="3" t="s">
        <v>15</v>
      </c>
      <c r="K80" s="3" t="s">
        <v>815</v>
      </c>
      <c r="L80" s="1" t="s">
        <v>910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6">
      <c r="A81" s="3" t="s">
        <v>590</v>
      </c>
      <c r="B81" s="3" t="s">
        <v>67</v>
      </c>
      <c r="C81" s="3" t="s">
        <v>163</v>
      </c>
      <c r="D81" s="3" t="s">
        <v>232</v>
      </c>
      <c r="E81" s="3" t="s">
        <v>591</v>
      </c>
      <c r="F81" s="3" t="s">
        <v>592</v>
      </c>
      <c r="G81" s="3" t="s">
        <v>593</v>
      </c>
      <c r="H81" s="3" t="s">
        <v>594</v>
      </c>
      <c r="I81" s="3" t="s">
        <v>237</v>
      </c>
      <c r="J81" s="3" t="s">
        <v>15</v>
      </c>
      <c r="K81" s="3" t="s">
        <v>815</v>
      </c>
      <c r="L81" s="1" t="s">
        <v>819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6">
      <c r="A82" s="3" t="s">
        <v>595</v>
      </c>
      <c r="B82" s="3" t="s">
        <v>67</v>
      </c>
      <c r="C82" s="3" t="s">
        <v>31</v>
      </c>
      <c r="D82" s="3" t="s">
        <v>596</v>
      </c>
      <c r="E82" s="3" t="s">
        <v>481</v>
      </c>
      <c r="F82" s="3" t="s">
        <v>597</v>
      </c>
      <c r="G82" s="3" t="s">
        <v>598</v>
      </c>
      <c r="H82" s="3" t="s">
        <v>599</v>
      </c>
      <c r="I82" s="3" t="s">
        <v>124</v>
      </c>
      <c r="J82" s="3" t="s">
        <v>15</v>
      </c>
      <c r="K82" s="3" t="s">
        <v>815</v>
      </c>
      <c r="L82" s="1" t="s">
        <v>911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.6">
      <c r="A83" s="3" t="s">
        <v>600</v>
      </c>
      <c r="B83" s="3" t="s">
        <v>67</v>
      </c>
      <c r="C83" s="3" t="s">
        <v>31</v>
      </c>
      <c r="D83" s="3" t="s">
        <v>601</v>
      </c>
      <c r="E83" s="3" t="s">
        <v>602</v>
      </c>
      <c r="F83" s="3" t="s">
        <v>603</v>
      </c>
      <c r="G83" s="3" t="s">
        <v>604</v>
      </c>
      <c r="H83" s="3" t="s">
        <v>605</v>
      </c>
      <c r="I83" s="3" t="s">
        <v>124</v>
      </c>
      <c r="J83" s="3" t="s">
        <v>15</v>
      </c>
      <c r="K83" s="3" t="s">
        <v>815</v>
      </c>
      <c r="L83" s="1" t="s">
        <v>912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.6">
      <c r="A84" s="3" t="s">
        <v>606</v>
      </c>
      <c r="B84" s="3" t="s">
        <v>67</v>
      </c>
      <c r="C84" s="3" t="s">
        <v>50</v>
      </c>
      <c r="D84" s="3" t="s">
        <v>607</v>
      </c>
      <c r="E84" s="3" t="s">
        <v>608</v>
      </c>
      <c r="F84" s="3" t="s">
        <v>609</v>
      </c>
      <c r="G84" s="3" t="s">
        <v>610</v>
      </c>
      <c r="H84" s="3" t="s">
        <v>611</v>
      </c>
      <c r="I84" s="3" t="s">
        <v>124</v>
      </c>
      <c r="J84" s="3" t="s">
        <v>15</v>
      </c>
      <c r="K84" s="3" t="s">
        <v>815</v>
      </c>
      <c r="L84" s="1" t="s">
        <v>913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41.4">
      <c r="A85" s="3" t="s">
        <v>612</v>
      </c>
      <c r="B85" s="3" t="s">
        <v>69</v>
      </c>
      <c r="C85" s="3" t="s">
        <v>31</v>
      </c>
      <c r="D85" s="3" t="s">
        <v>613</v>
      </c>
      <c r="E85" s="3" t="s">
        <v>614</v>
      </c>
      <c r="F85" s="3" t="s">
        <v>615</v>
      </c>
      <c r="G85" s="3" t="s">
        <v>616</v>
      </c>
      <c r="H85" s="3" t="s">
        <v>617</v>
      </c>
      <c r="I85" s="3" t="s">
        <v>274</v>
      </c>
      <c r="J85" s="3" t="s">
        <v>15</v>
      </c>
      <c r="K85" s="3" t="s">
        <v>832</v>
      </c>
      <c r="L85" s="1" t="s">
        <v>836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41.4">
      <c r="A86" s="3" t="s">
        <v>618</v>
      </c>
      <c r="B86" s="3" t="s">
        <v>69</v>
      </c>
      <c r="C86" s="3" t="s">
        <v>31</v>
      </c>
      <c r="D86" s="3" t="s">
        <v>619</v>
      </c>
      <c r="E86" s="3" t="s">
        <v>620</v>
      </c>
      <c r="F86" s="3" t="s">
        <v>621</v>
      </c>
      <c r="G86" s="3" t="s">
        <v>622</v>
      </c>
      <c r="H86" s="3" t="s">
        <v>623</v>
      </c>
      <c r="I86" s="3" t="s">
        <v>274</v>
      </c>
      <c r="J86" s="3" t="s">
        <v>15</v>
      </c>
      <c r="K86" s="3" t="s">
        <v>815</v>
      </c>
      <c r="L86" s="1" t="s">
        <v>816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41.4">
      <c r="A87" s="3" t="s">
        <v>624</v>
      </c>
      <c r="B87" s="3" t="s">
        <v>69</v>
      </c>
      <c r="C87" s="3" t="s">
        <v>50</v>
      </c>
      <c r="D87" s="3" t="s">
        <v>625</v>
      </c>
      <c r="E87" s="3" t="s">
        <v>626</v>
      </c>
      <c r="F87" s="3" t="s">
        <v>627</v>
      </c>
      <c r="G87" s="3" t="s">
        <v>628</v>
      </c>
      <c r="H87" s="3" t="s">
        <v>629</v>
      </c>
      <c r="I87" s="3" t="s">
        <v>274</v>
      </c>
      <c r="J87" s="3" t="s">
        <v>15</v>
      </c>
      <c r="K87" s="3" t="s">
        <v>832</v>
      </c>
      <c r="L87" s="1" t="s">
        <v>835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.6">
      <c r="A88" s="3" t="s">
        <v>630</v>
      </c>
      <c r="B88" s="3" t="s">
        <v>69</v>
      </c>
      <c r="C88" s="3" t="s">
        <v>50</v>
      </c>
      <c r="D88" s="3" t="s">
        <v>631</v>
      </c>
      <c r="E88" s="3" t="s">
        <v>632</v>
      </c>
      <c r="F88" s="3" t="s">
        <v>633</v>
      </c>
      <c r="G88" s="3" t="s">
        <v>634</v>
      </c>
      <c r="H88" s="3" t="s">
        <v>635</v>
      </c>
      <c r="I88" s="3" t="s">
        <v>124</v>
      </c>
      <c r="J88" s="3" t="s">
        <v>15</v>
      </c>
      <c r="K88" s="3" t="s">
        <v>832</v>
      </c>
      <c r="L88" s="1" t="s">
        <v>834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41.4">
      <c r="A89" s="3" t="s">
        <v>636</v>
      </c>
      <c r="B89" s="3" t="s">
        <v>69</v>
      </c>
      <c r="C89" s="3" t="s">
        <v>50</v>
      </c>
      <c r="D89" s="3" t="s">
        <v>637</v>
      </c>
      <c r="E89" s="3" t="s">
        <v>638</v>
      </c>
      <c r="F89" s="3" t="s">
        <v>639</v>
      </c>
      <c r="G89" s="3" t="s">
        <v>640</v>
      </c>
      <c r="H89" s="3" t="s">
        <v>641</v>
      </c>
      <c r="I89" s="3" t="s">
        <v>124</v>
      </c>
      <c r="J89" s="3" t="s">
        <v>15</v>
      </c>
      <c r="K89" s="3" t="s">
        <v>832</v>
      </c>
      <c r="L89" s="1" t="s">
        <v>833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41.4">
      <c r="A90" s="3" t="s">
        <v>642</v>
      </c>
      <c r="B90" s="3" t="s">
        <v>72</v>
      </c>
      <c r="C90" s="3" t="s">
        <v>163</v>
      </c>
      <c r="D90" s="3" t="s">
        <v>643</v>
      </c>
      <c r="E90" s="3" t="s">
        <v>644</v>
      </c>
      <c r="F90" s="3" t="s">
        <v>645</v>
      </c>
      <c r="G90" s="3" t="s">
        <v>646</v>
      </c>
      <c r="H90" s="3" t="s">
        <v>647</v>
      </c>
      <c r="I90" s="3" t="s">
        <v>381</v>
      </c>
      <c r="J90" s="3" t="s">
        <v>15</v>
      </c>
      <c r="K90" s="3" t="s">
        <v>815</v>
      </c>
      <c r="L90" s="1" t="s">
        <v>820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41.4">
      <c r="A91" s="3" t="s">
        <v>648</v>
      </c>
      <c r="B91" s="3" t="s">
        <v>72</v>
      </c>
      <c r="C91" s="3" t="s">
        <v>31</v>
      </c>
      <c r="D91" s="3" t="s">
        <v>649</v>
      </c>
      <c r="E91" s="3" t="s">
        <v>650</v>
      </c>
      <c r="F91" s="3" t="s">
        <v>651</v>
      </c>
      <c r="G91" s="3" t="s">
        <v>652</v>
      </c>
      <c r="H91" s="3" t="s">
        <v>653</v>
      </c>
      <c r="I91" s="3" t="s">
        <v>124</v>
      </c>
      <c r="J91" s="3" t="s">
        <v>15</v>
      </c>
      <c r="K91" s="3" t="s">
        <v>815</v>
      </c>
      <c r="L91" s="1" t="s">
        <v>914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.6">
      <c r="A92" s="3" t="s">
        <v>654</v>
      </c>
      <c r="B92" s="3" t="s">
        <v>72</v>
      </c>
      <c r="C92" s="3" t="s">
        <v>31</v>
      </c>
      <c r="D92" s="3" t="s">
        <v>298</v>
      </c>
      <c r="E92" s="3" t="s">
        <v>655</v>
      </c>
      <c r="F92" s="3" t="s">
        <v>656</v>
      </c>
      <c r="G92" s="3" t="s">
        <v>657</v>
      </c>
      <c r="H92" s="3" t="s">
        <v>658</v>
      </c>
      <c r="I92" s="3" t="s">
        <v>303</v>
      </c>
      <c r="J92" s="3" t="s">
        <v>15</v>
      </c>
      <c r="K92" s="3" t="s">
        <v>815</v>
      </c>
      <c r="L92" s="1" t="s">
        <v>915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41.4">
      <c r="A93" s="3" t="s">
        <v>659</v>
      </c>
      <c r="B93" s="3" t="s">
        <v>72</v>
      </c>
      <c r="C93" s="3" t="s">
        <v>31</v>
      </c>
      <c r="D93" s="3" t="s">
        <v>660</v>
      </c>
      <c r="E93" s="3" t="s">
        <v>661</v>
      </c>
      <c r="F93" s="3" t="s">
        <v>662</v>
      </c>
      <c r="G93" s="3" t="s">
        <v>663</v>
      </c>
      <c r="H93" s="3" t="s">
        <v>664</v>
      </c>
      <c r="I93" s="3" t="s">
        <v>124</v>
      </c>
      <c r="J93" s="3" t="s">
        <v>15</v>
      </c>
      <c r="K93" s="3" t="s">
        <v>815</v>
      </c>
      <c r="L93" s="1" t="s">
        <v>916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7.6">
      <c r="A94" s="3" t="s">
        <v>665</v>
      </c>
      <c r="B94" s="3" t="s">
        <v>72</v>
      </c>
      <c r="C94" s="3" t="s">
        <v>50</v>
      </c>
      <c r="D94" s="3" t="s">
        <v>666</v>
      </c>
      <c r="E94" s="3" t="s">
        <v>76</v>
      </c>
      <c r="F94" s="3" t="s">
        <v>667</v>
      </c>
      <c r="G94" s="3" t="s">
        <v>668</v>
      </c>
      <c r="H94" s="3" t="s">
        <v>669</v>
      </c>
      <c r="I94" s="3" t="s">
        <v>670</v>
      </c>
      <c r="J94" s="3" t="s">
        <v>15</v>
      </c>
      <c r="K94" s="3" t="s">
        <v>832</v>
      </c>
      <c r="L94" s="1" t="s">
        <v>917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7.6">
      <c r="A95" s="3" t="s">
        <v>671</v>
      </c>
      <c r="B95" s="3" t="s">
        <v>74</v>
      </c>
      <c r="C95" s="3" t="s">
        <v>163</v>
      </c>
      <c r="D95" s="3" t="s">
        <v>672</v>
      </c>
      <c r="E95" s="3" t="s">
        <v>673</v>
      </c>
      <c r="F95" s="3" t="s">
        <v>674</v>
      </c>
      <c r="G95" s="3" t="s">
        <v>675</v>
      </c>
      <c r="H95" s="3" t="s">
        <v>676</v>
      </c>
      <c r="I95" s="3" t="s">
        <v>274</v>
      </c>
      <c r="J95" s="3" t="s">
        <v>15</v>
      </c>
      <c r="K95" s="3" t="s">
        <v>832</v>
      </c>
      <c r="L95" s="1" t="s">
        <v>838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41.4">
      <c r="A96" s="3" t="s">
        <v>677</v>
      </c>
      <c r="B96" s="3" t="s">
        <v>74</v>
      </c>
      <c r="C96" s="3" t="s">
        <v>31</v>
      </c>
      <c r="D96" s="3" t="s">
        <v>678</v>
      </c>
      <c r="E96" s="3" t="s">
        <v>679</v>
      </c>
      <c r="F96" s="3" t="s">
        <v>680</v>
      </c>
      <c r="G96" s="3" t="s">
        <v>681</v>
      </c>
      <c r="H96" s="3" t="s">
        <v>682</v>
      </c>
      <c r="I96" s="3" t="s">
        <v>274</v>
      </c>
      <c r="J96" s="3" t="s">
        <v>15</v>
      </c>
      <c r="K96" s="3" t="s">
        <v>815</v>
      </c>
      <c r="L96" s="1" t="s">
        <v>829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7.6">
      <c r="A97" s="3" t="s">
        <v>683</v>
      </c>
      <c r="B97" s="3" t="s">
        <v>74</v>
      </c>
      <c r="C97" s="3" t="s">
        <v>31</v>
      </c>
      <c r="D97" s="3" t="s">
        <v>684</v>
      </c>
      <c r="E97" s="3" t="s">
        <v>685</v>
      </c>
      <c r="F97" s="3" t="s">
        <v>686</v>
      </c>
      <c r="G97" s="3" t="s">
        <v>687</v>
      </c>
      <c r="H97" s="3" t="s">
        <v>688</v>
      </c>
      <c r="I97" s="3" t="s">
        <v>274</v>
      </c>
      <c r="J97" s="3" t="s">
        <v>15</v>
      </c>
      <c r="K97" s="3" t="s">
        <v>832</v>
      </c>
      <c r="L97" s="1" t="s">
        <v>835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41.4">
      <c r="A98" s="3" t="s">
        <v>689</v>
      </c>
      <c r="B98" s="3" t="s">
        <v>74</v>
      </c>
      <c r="C98" s="3" t="s">
        <v>31</v>
      </c>
      <c r="D98" s="3" t="s">
        <v>690</v>
      </c>
      <c r="E98" s="3" t="s">
        <v>691</v>
      </c>
      <c r="F98" s="3" t="s">
        <v>692</v>
      </c>
      <c r="G98" s="3" t="s">
        <v>693</v>
      </c>
      <c r="H98" s="3" t="s">
        <v>694</v>
      </c>
      <c r="I98" s="3" t="s">
        <v>274</v>
      </c>
      <c r="J98" s="3" t="s">
        <v>15</v>
      </c>
      <c r="K98" s="3" t="s">
        <v>832</v>
      </c>
      <c r="L98" s="1" t="s">
        <v>875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7.6">
      <c r="A99" s="3" t="s">
        <v>695</v>
      </c>
      <c r="B99" s="3" t="s">
        <v>74</v>
      </c>
      <c r="C99" s="3" t="s">
        <v>31</v>
      </c>
      <c r="D99" s="3" t="s">
        <v>696</v>
      </c>
      <c r="E99" s="3" t="s">
        <v>697</v>
      </c>
      <c r="F99" s="3" t="s">
        <v>698</v>
      </c>
      <c r="G99" s="3" t="s">
        <v>699</v>
      </c>
      <c r="H99" s="3" t="s">
        <v>700</v>
      </c>
      <c r="I99" s="3" t="s">
        <v>274</v>
      </c>
      <c r="J99" s="3" t="s">
        <v>15</v>
      </c>
      <c r="K99" s="3" t="s">
        <v>815</v>
      </c>
      <c r="L99" s="1" t="s">
        <v>831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41.4">
      <c r="A100" s="3" t="s">
        <v>701</v>
      </c>
      <c r="B100" s="3" t="s">
        <v>74</v>
      </c>
      <c r="C100" s="3" t="s">
        <v>31</v>
      </c>
      <c r="D100" s="3" t="s">
        <v>702</v>
      </c>
      <c r="E100" s="3" t="s">
        <v>703</v>
      </c>
      <c r="F100" s="3" t="s">
        <v>704</v>
      </c>
      <c r="G100" s="3" t="s">
        <v>705</v>
      </c>
      <c r="H100" s="3" t="s">
        <v>706</v>
      </c>
      <c r="I100" s="3" t="s">
        <v>274</v>
      </c>
      <c r="J100" s="3" t="s">
        <v>15</v>
      </c>
      <c r="K100" s="3" t="s">
        <v>832</v>
      </c>
      <c r="L100" s="1" t="s">
        <v>873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41.4">
      <c r="A101" s="3" t="s">
        <v>707</v>
      </c>
      <c r="B101" s="3" t="s">
        <v>74</v>
      </c>
      <c r="C101" s="3" t="s">
        <v>50</v>
      </c>
      <c r="D101" s="3" t="s">
        <v>708</v>
      </c>
      <c r="E101" s="3" t="s">
        <v>655</v>
      </c>
      <c r="F101" s="3" t="s">
        <v>709</v>
      </c>
      <c r="G101" s="3" t="s">
        <v>710</v>
      </c>
      <c r="H101" s="3" t="s">
        <v>711</v>
      </c>
      <c r="I101" s="3" t="s">
        <v>274</v>
      </c>
      <c r="J101" s="3" t="s">
        <v>15</v>
      </c>
      <c r="K101" s="3" t="s">
        <v>815</v>
      </c>
      <c r="L101" s="1" t="s">
        <v>918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41.4">
      <c r="A102" s="3" t="s">
        <v>712</v>
      </c>
      <c r="B102" s="3" t="s">
        <v>76</v>
      </c>
      <c r="C102" s="3" t="s">
        <v>163</v>
      </c>
      <c r="D102" s="3" t="s">
        <v>713</v>
      </c>
      <c r="E102" s="3" t="s">
        <v>714</v>
      </c>
      <c r="F102" s="3" t="s">
        <v>715</v>
      </c>
      <c r="G102" s="3" t="s">
        <v>716</v>
      </c>
      <c r="H102" s="3" t="s">
        <v>717</v>
      </c>
      <c r="I102" s="3" t="s">
        <v>670</v>
      </c>
      <c r="J102" s="3" t="s">
        <v>15</v>
      </c>
      <c r="K102" s="3" t="s">
        <v>815</v>
      </c>
      <c r="L102" s="1" t="s">
        <v>824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7.6">
      <c r="A103" s="3" t="s">
        <v>718</v>
      </c>
      <c r="B103" s="3" t="s">
        <v>76</v>
      </c>
      <c r="C103" s="3" t="s">
        <v>31</v>
      </c>
      <c r="D103" s="3" t="s">
        <v>719</v>
      </c>
      <c r="E103" s="3" t="s">
        <v>720</v>
      </c>
      <c r="F103" s="3" t="s">
        <v>721</v>
      </c>
      <c r="G103" s="3" t="s">
        <v>722</v>
      </c>
      <c r="H103" s="3" t="s">
        <v>723</v>
      </c>
      <c r="I103" s="3" t="s">
        <v>124</v>
      </c>
      <c r="J103" s="3" t="s">
        <v>15</v>
      </c>
      <c r="K103" s="3" t="s">
        <v>832</v>
      </c>
      <c r="L103" s="1" t="s">
        <v>866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7.6">
      <c r="A104" s="3" t="s">
        <v>724</v>
      </c>
      <c r="B104" s="3" t="s">
        <v>76</v>
      </c>
      <c r="C104" s="3" t="s">
        <v>31</v>
      </c>
      <c r="D104" s="3" t="s">
        <v>725</v>
      </c>
      <c r="E104" s="3" t="s">
        <v>726</v>
      </c>
      <c r="F104" s="3" t="s">
        <v>727</v>
      </c>
      <c r="G104" s="3" t="s">
        <v>728</v>
      </c>
      <c r="H104" s="3" t="s">
        <v>729</v>
      </c>
      <c r="I104" s="3" t="s">
        <v>670</v>
      </c>
      <c r="J104" s="3" t="s">
        <v>15</v>
      </c>
      <c r="K104" s="3" t="s">
        <v>832</v>
      </c>
      <c r="L104" s="1" t="s">
        <v>870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7.6">
      <c r="A105" s="3" t="s">
        <v>730</v>
      </c>
      <c r="B105" s="3" t="s">
        <v>76</v>
      </c>
      <c r="C105" s="3" t="s">
        <v>31</v>
      </c>
      <c r="D105" s="3" t="s">
        <v>731</v>
      </c>
      <c r="E105" s="3" t="s">
        <v>732</v>
      </c>
      <c r="F105" s="3" t="s">
        <v>733</v>
      </c>
      <c r="G105" s="3" t="s">
        <v>734</v>
      </c>
      <c r="H105" s="3" t="s">
        <v>735</v>
      </c>
      <c r="I105" s="3" t="s">
        <v>274</v>
      </c>
      <c r="J105" s="3" t="s">
        <v>15</v>
      </c>
      <c r="K105" s="3" t="s">
        <v>832</v>
      </c>
      <c r="L105" s="1" t="s">
        <v>849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7.6">
      <c r="A106" s="3" t="s">
        <v>736</v>
      </c>
      <c r="B106" s="3" t="s">
        <v>76</v>
      </c>
      <c r="C106" s="3" t="s">
        <v>31</v>
      </c>
      <c r="D106" s="3" t="s">
        <v>737</v>
      </c>
      <c r="E106" s="3" t="s">
        <v>673</v>
      </c>
      <c r="F106" s="3" t="s">
        <v>738</v>
      </c>
      <c r="G106" s="3" t="s">
        <v>739</v>
      </c>
      <c r="H106" s="3" t="s">
        <v>740</v>
      </c>
      <c r="I106" s="3" t="s">
        <v>274</v>
      </c>
      <c r="J106" s="3" t="s">
        <v>15</v>
      </c>
      <c r="K106" s="3" t="s">
        <v>832</v>
      </c>
      <c r="L106" s="1" t="s">
        <v>845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41.4">
      <c r="A107" s="3" t="s">
        <v>741</v>
      </c>
      <c r="B107" s="3" t="s">
        <v>76</v>
      </c>
      <c r="C107" s="3" t="s">
        <v>50</v>
      </c>
      <c r="D107" s="3" t="s">
        <v>742</v>
      </c>
      <c r="E107" s="3" t="s">
        <v>743</v>
      </c>
      <c r="F107" s="3" t="s">
        <v>744</v>
      </c>
      <c r="G107" s="3" t="s">
        <v>745</v>
      </c>
      <c r="H107" s="3" t="s">
        <v>746</v>
      </c>
      <c r="I107" s="3" t="s">
        <v>670</v>
      </c>
      <c r="J107" s="3" t="s">
        <v>15</v>
      </c>
      <c r="K107" s="3" t="s">
        <v>815</v>
      </c>
      <c r="L107" s="1" t="s">
        <v>919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41.4">
      <c r="A108" s="3" t="s">
        <v>747</v>
      </c>
      <c r="B108" s="3" t="s">
        <v>76</v>
      </c>
      <c r="C108" s="3" t="s">
        <v>50</v>
      </c>
      <c r="D108" s="3" t="s">
        <v>748</v>
      </c>
      <c r="E108" s="3" t="s">
        <v>749</v>
      </c>
      <c r="F108" s="3" t="s">
        <v>750</v>
      </c>
      <c r="G108" s="3" t="s">
        <v>751</v>
      </c>
      <c r="H108" s="3" t="s">
        <v>752</v>
      </c>
      <c r="I108" s="3" t="s">
        <v>670</v>
      </c>
      <c r="J108" s="3" t="s">
        <v>15</v>
      </c>
      <c r="K108" s="3" t="s">
        <v>832</v>
      </c>
      <c r="L108" s="1" t="s">
        <v>920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conditionalFormatting sqref="C2:C108">
    <cfRule type="expression" dxfId="2" priority="1">
      <formula>C2="Critical"</formula>
    </cfRule>
    <cfRule type="expression" dxfId="1" priority="2">
      <formula>C2="High"</formula>
    </cfRule>
    <cfRule type="expression" dxfId="0" priority="3">
      <formula>C2="Medium"</formula>
    </cfRule>
  </conditionalFormatting>
  <dataValidations count="2">
    <dataValidation type="list" sqref="C2:C108" xr:uid="{00000000-0002-0000-0200-000000000000}">
      <formula1>"Critical,High,Medium,Low"</formula1>
    </dataValidation>
    <dataValidation type="list" allowBlank="1" showInputMessage="1" showErrorMessage="1" sqref="K2:K108" xr:uid="{5B761682-2AEA-4AB8-8C7A-84AEAAF7E648}">
      <formula1>"Open,In Progress,Resolved,Deferred,Accepted Risk"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defaultRowHeight="13.8"/>
  <cols>
    <col min="1" max="1" width="24" customWidth="1"/>
    <col min="2" max="2" width="72" customWidth="1"/>
    <col min="3" max="4" width="42" customWidth="1"/>
    <col min="6" max="6" width="22" customWidth="1"/>
    <col min="7" max="7" width="45" customWidth="1"/>
    <col min="8" max="8" width="35" customWidth="1"/>
  </cols>
  <sheetData>
    <row r="1" spans="1:26">
      <c r="A1" s="5" t="s">
        <v>753</v>
      </c>
      <c r="B1" s="5"/>
      <c r="C1" s="5"/>
      <c r="D1" s="5"/>
      <c r="E1" s="5"/>
      <c r="F1" s="5"/>
      <c r="G1" s="5"/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5"/>
      <c r="B2" s="5"/>
      <c r="C2" s="5"/>
      <c r="D2" s="5"/>
      <c r="E2" s="5"/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/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754</v>
      </c>
      <c r="B4" s="2" t="s">
        <v>755</v>
      </c>
      <c r="C4" s="3"/>
      <c r="D4" s="3"/>
      <c r="E4" s="3"/>
      <c r="F4" s="2" t="s">
        <v>756</v>
      </c>
      <c r="G4" s="2" t="s">
        <v>2</v>
      </c>
      <c r="H4" s="2" t="s">
        <v>757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81</v>
      </c>
      <c r="B5" s="3" t="s">
        <v>758</v>
      </c>
      <c r="C5" s="3"/>
      <c r="D5" s="3"/>
      <c r="E5" s="3"/>
      <c r="F5" s="3" t="s">
        <v>7</v>
      </c>
      <c r="G5" s="3" t="s">
        <v>15</v>
      </c>
      <c r="H5" s="3" t="s">
        <v>759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3" t="s">
        <v>82</v>
      </c>
      <c r="B6" s="3" t="s">
        <v>760</v>
      </c>
      <c r="C6" s="3"/>
      <c r="D6" s="3"/>
      <c r="E6" s="3"/>
      <c r="F6" s="3" t="s">
        <v>4</v>
      </c>
      <c r="G6" s="3" t="s">
        <v>761</v>
      </c>
      <c r="H6" s="3" t="s">
        <v>762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83</v>
      </c>
      <c r="B7" s="3" t="s">
        <v>763</v>
      </c>
      <c r="C7" s="3"/>
      <c r="D7" s="3"/>
      <c r="E7" s="3"/>
      <c r="F7" s="3" t="s">
        <v>5</v>
      </c>
      <c r="G7" s="3" t="s">
        <v>13</v>
      </c>
      <c r="H7" s="3" t="s">
        <v>764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3" t="s">
        <v>765</v>
      </c>
      <c r="B8" s="3" t="s">
        <v>766</v>
      </c>
      <c r="C8" s="3"/>
      <c r="D8" s="3"/>
      <c r="E8" s="3"/>
      <c r="F8" s="3" t="s">
        <v>6</v>
      </c>
      <c r="G8" s="3" t="s">
        <v>14</v>
      </c>
      <c r="H8" s="3" t="s">
        <v>767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6">
      <c r="A9" s="3" t="s">
        <v>8</v>
      </c>
      <c r="B9" s="3" t="s">
        <v>768</v>
      </c>
      <c r="C9" s="3"/>
      <c r="D9" s="3"/>
      <c r="E9" s="3"/>
      <c r="F9" s="3" t="s">
        <v>769</v>
      </c>
      <c r="G9" s="3" t="s">
        <v>770</v>
      </c>
      <c r="H9" s="3" t="s">
        <v>771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6">
      <c r="A10" s="3" t="s">
        <v>772</v>
      </c>
      <c r="B10" s="3" t="s">
        <v>773</v>
      </c>
      <c r="C10" s="3"/>
      <c r="D10" s="3"/>
      <c r="E10" s="3"/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/>
      <c r="B11" s="3"/>
      <c r="C11" s="3"/>
      <c r="D11" s="3"/>
      <c r="E11" s="3"/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/>
      <c r="B12" s="3"/>
      <c r="C12" s="3"/>
      <c r="D12" s="3"/>
      <c r="E12" s="3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2" t="s">
        <v>774</v>
      </c>
      <c r="B13" s="2" t="s">
        <v>775</v>
      </c>
      <c r="C13" s="2" t="s">
        <v>776</v>
      </c>
      <c r="D13" s="2" t="s">
        <v>777</v>
      </c>
      <c r="E13" s="3"/>
      <c r="F13" s="3"/>
      <c r="G13" s="3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 t="s">
        <v>778</v>
      </c>
      <c r="B14" s="3" t="s">
        <v>779</v>
      </c>
      <c r="C14" s="3" t="s">
        <v>780</v>
      </c>
      <c r="D14" s="3" t="s">
        <v>781</v>
      </c>
      <c r="E14" s="3"/>
      <c r="F14" s="3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6">
      <c r="A15" s="3" t="s">
        <v>782</v>
      </c>
      <c r="B15" s="3" t="s">
        <v>783</v>
      </c>
      <c r="C15" s="3" t="s">
        <v>784</v>
      </c>
      <c r="D15" s="3" t="s">
        <v>785</v>
      </c>
      <c r="E15" s="3"/>
      <c r="F15" s="3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 t="s">
        <v>43</v>
      </c>
      <c r="B16" s="3" t="s">
        <v>786</v>
      </c>
      <c r="C16" s="3" t="s">
        <v>787</v>
      </c>
      <c r="D16" s="3" t="s">
        <v>788</v>
      </c>
      <c r="E16" s="3"/>
      <c r="F16" s="3"/>
      <c r="G16" s="3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 t="s">
        <v>45</v>
      </c>
      <c r="B17" s="3" t="s">
        <v>789</v>
      </c>
      <c r="C17" s="3" t="s">
        <v>790</v>
      </c>
      <c r="D17" s="3" t="s">
        <v>791</v>
      </c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 t="s">
        <v>47</v>
      </c>
      <c r="B18" s="3" t="s">
        <v>792</v>
      </c>
      <c r="C18" s="3" t="s">
        <v>793</v>
      </c>
      <c r="D18" s="3" t="s">
        <v>794</v>
      </c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 t="s">
        <v>795</v>
      </c>
      <c r="B19" s="3" t="s">
        <v>796</v>
      </c>
      <c r="C19" s="3" t="s">
        <v>797</v>
      </c>
      <c r="D19" s="3" t="s">
        <v>788</v>
      </c>
      <c r="E19" s="3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.6">
      <c r="A20" s="3" t="s">
        <v>798</v>
      </c>
      <c r="B20" s="3" t="s">
        <v>799</v>
      </c>
      <c r="C20" s="3" t="s">
        <v>800</v>
      </c>
      <c r="D20" s="3" t="s">
        <v>801</v>
      </c>
      <c r="E20" s="3"/>
      <c r="F20" s="3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 t="s">
        <v>802</v>
      </c>
      <c r="B21" s="3" t="s">
        <v>803</v>
      </c>
      <c r="C21" s="3" t="s">
        <v>804</v>
      </c>
      <c r="D21" s="3" t="s">
        <v>805</v>
      </c>
      <c r="E21" s="3"/>
      <c r="F21" s="3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" t="s">
        <v>806</v>
      </c>
      <c r="B22" s="3" t="s">
        <v>807</v>
      </c>
      <c r="C22" s="3" t="s">
        <v>808</v>
      </c>
      <c r="D22" s="3" t="s">
        <v>809</v>
      </c>
      <c r="E22" s="3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.6">
      <c r="A23" s="3" t="s">
        <v>810</v>
      </c>
      <c r="B23" s="3" t="s">
        <v>811</v>
      </c>
      <c r="C23" s="3" t="s">
        <v>812</v>
      </c>
      <c r="D23" s="3" t="s">
        <v>813</v>
      </c>
      <c r="E23" s="3"/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"/>
      <c r="B24" s="3"/>
      <c r="C24" s="3"/>
      <c r="D24" s="3"/>
      <c r="E24" s="3"/>
      <c r="F24" s="3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"/>
      <c r="B25" s="3"/>
      <c r="C25" s="3"/>
      <c r="D25" s="3"/>
      <c r="E25" s="3"/>
      <c r="F25" s="3"/>
      <c r="G25" s="3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/>
      <c r="B26" s="3"/>
      <c r="C26" s="3"/>
      <c r="D26" s="3"/>
      <c r="E26" s="3"/>
      <c r="F26" s="3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3"/>
      <c r="B27" s="3"/>
      <c r="C27" s="3"/>
      <c r="D27" s="3"/>
      <c r="E27" s="3"/>
      <c r="F27" s="3"/>
      <c r="G27" s="3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3"/>
      <c r="B28" s="3"/>
      <c r="C28" s="3"/>
      <c r="D28" s="3"/>
      <c r="E28" s="3"/>
      <c r="F28" s="3"/>
      <c r="G28" s="3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3"/>
      <c r="B29" s="3"/>
      <c r="C29" s="3"/>
      <c r="D29" s="3"/>
      <c r="E29" s="3"/>
      <c r="F29" s="3"/>
      <c r="G29" s="3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"/>
      <c r="B30" s="3"/>
      <c r="C30" s="3"/>
      <c r="D30" s="3"/>
      <c r="E30" s="3"/>
      <c r="F30" s="3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Requirement Match</vt:lpstr>
      <vt:lpstr>Gap Register</vt:lpstr>
      <vt:lpstr>Scoring &amp; Scope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Sridhar Voleti</cp:lastModifiedBy>
  <dcterms:modified xsi:type="dcterms:W3CDTF">2026-08-08T22:10:55Z</dcterms:modified>
</cp:coreProperties>
</file>